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7.xml" ContentType="application/vnd.openxmlformats-officedocument.drawingml.chart+xml"/>
  <Override PartName="/xl/drawings/charts/chart8.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d3dbc83d224520" /></Relationships>
</file>

<file path=xl/workbook.xml><?xml version="1.0" encoding="utf-8"?>
<x:workbook xmlns:x="http://schemas.openxmlformats.org/spreadsheetml/2006/main">
  <x:sheets>
    <x:sheet xmlns:r="http://schemas.openxmlformats.org/officeDocument/2006/relationships" name="Investor Dashboard" sheetId="1" r:id="Rbcca2cea66714d92"/>
    <x:sheet xmlns:r="http://schemas.openxmlformats.org/officeDocument/2006/relationships" name="General Assumptions" sheetId="2" r:id="Rf0d72a942e344ea7"/>
    <x:sheet xmlns:r="http://schemas.openxmlformats.org/officeDocument/2006/relationships" name="CS - Payroll" sheetId="3" r:id="Re699916f67ef4ffc"/>
    <x:sheet xmlns:r="http://schemas.openxmlformats.org/officeDocument/2006/relationships" name="CS - CAPEX" sheetId="4" r:id="R57f3cb0f5dca41de"/>
    <x:sheet xmlns:r="http://schemas.openxmlformats.org/officeDocument/2006/relationships" name="CS - OPEX" sheetId="5" r:id="R37292656e0224963"/>
    <x:sheet xmlns:r="http://schemas.openxmlformats.org/officeDocument/2006/relationships" name="CS - 10Y Model" sheetId="6" r:id="Rda321ac673074da3"/>
    <x:sheet xmlns:r="http://schemas.openxmlformats.org/officeDocument/2006/relationships" name="School - Payroll" sheetId="7" r:id="Rdb88023f70c04858"/>
    <x:sheet xmlns:r="http://schemas.openxmlformats.org/officeDocument/2006/relationships" name="School - CAPEX" sheetId="8" r:id="Rd429fffc825a457a"/>
    <x:sheet xmlns:r="http://schemas.openxmlformats.org/officeDocument/2006/relationships" name="School - OPEX" sheetId="9" r:id="R2b874d77a55546a0"/>
    <x:sheet xmlns:r="http://schemas.openxmlformats.org/officeDocument/2006/relationships" name="School - 10Y Model" sheetId="10" r:id="R51566bb152f34970"/>
    <x:sheet xmlns:r="http://schemas.openxmlformats.org/officeDocument/2006/relationships" name="CH - Payroll" sheetId="11" r:id="Ra0f6a11dbc0945b6"/>
    <x:sheet xmlns:r="http://schemas.openxmlformats.org/officeDocument/2006/relationships" name="CH - CAPEX" sheetId="12" r:id="R005ff1ad2e7449df"/>
    <x:sheet xmlns:r="http://schemas.openxmlformats.org/officeDocument/2006/relationships" name="CH - OPEX" sheetId="13" r:id="R9be4272192e54757"/>
    <x:sheet xmlns:r="http://schemas.openxmlformats.org/officeDocument/2006/relationships" name="CH - 10Y Model" sheetId="14" r:id="R5126d7819986429e"/>
    <x:sheet xmlns:r="http://schemas.openxmlformats.org/officeDocument/2006/relationships" name="Decision Matrix" sheetId="15" r:id="Rbea351549f1f432a"/>
    <x:sheet xmlns:r="http://schemas.openxmlformats.org/officeDocument/2006/relationships" name="Dynamic Inputs" sheetId="16" r:id="R1d0a46c1203948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
    <x:numFmt numFmtId="201" formatCode="0.0%;[Red](0.0%);-"/>
    <x:numFmt numFmtId="202" formatCode="0.00x"/>
    <x:numFmt numFmtId="203" formatCode="0.0x"/>
  </x:numFmts>
  <x:fonts count="12">
    <x:font>
      <x:sz val="11"/>
      <x:name val="Carlito"/>
    </x:font>
    <x:font>
      <x:b/>
      <x:sz val="21"/>
      <x:color rgb="FFFFFFFF"/>
      <x:name val="Carlito"/>
    </x:font>
    <x:font>
      <x:b/>
      <x:sz val="11"/>
      <x:color rgb="FFFFFFFF"/>
      <x:name val="Carlito"/>
    </x:font>
    <x:font>
      <x:b/>
      <x:sz val="11"/>
      <x:name val="Carlito"/>
    </x:font>
    <x:font>
      <x:sz val="11"/>
      <x:color rgb="FF0000FF"/>
      <x:name val="Carlito"/>
    </x:font>
    <x:font>
      <x:b/>
      <x:sz val="18"/>
      <x:color rgb="FFFFFFFF"/>
      <x:name val="Carlito"/>
    </x:font>
    <x:font>
      <x:sz val="11"/>
      <x:color rgb="FF000000"/>
      <x:name val="Carlito"/>
    </x:font>
    <x:font>
      <x:b/>
      <x:sz val="11"/>
      <x:color rgb="FF000000"/>
      <x:name val="Carlito"/>
    </x:font>
    <x:font>
      <x:sz val="11"/>
      <x:color rgb="FF008000"/>
      <x:name val="Carlito"/>
    </x:font>
    <x:font>
      <x:b/>
      <x:sz val="11"/>
      <x:color rgb="FF008000"/>
      <x:name val="Carlito"/>
    </x:font>
    <x:font>
      <x:b/>
      <x:sz val="8"/>
      <x:color rgb="FFFFFFFF"/>
      <x:name val="Carlito"/>
    </x:font>
    <x:font>
      <x:sz val="8"/>
      <x:name val="Carlito"/>
    </x:font>
  </x:fonts>
  <x:fills count="11">
    <x:fill>
      <x:patternFill patternType="none"/>
    </x:fill>
    <x:fill>
      <x:patternFill patternType="gray125"/>
    </x:fill>
    <x:fill>
      <x:patternFill patternType="solid">
        <x:fgColor rgb="FF153A3A"/>
      </x:patternFill>
    </x:fill>
    <x:fill>
      <x:patternFill patternType="solid">
        <x:fgColor rgb="FF099999"/>
      </x:patternFill>
    </x:fill>
    <x:fill>
      <x:patternFill patternType="solid">
        <x:fgColor rgb="FFE7F3F3"/>
      </x:patternFill>
    </x:fill>
    <x:fill>
      <x:patternFill patternType="solid">
        <x:fgColor rgb="FFF6FAFA"/>
      </x:patternFill>
    </x:fill>
    <x:fill>
      <x:patternFill patternType="solid">
        <x:fgColor rgb="FF153A3A"/>
      </x:patternFill>
    </x:fill>
    <x:fill>
      <x:patternFill patternType="solid">
        <x:fgColor rgb="FFFFF2CC"/>
      </x:patternFill>
    </x:fill>
    <x:fill>
      <x:patternFill patternType="solid">
        <x:fgColor rgb="FFE7F3F3"/>
      </x:patternFill>
    </x:fill>
    <x:fill>
      <x:patternFill patternType="solid">
        <x:fgColor rgb="FF099999"/>
      </x:patternFill>
    </x:fill>
    <x:fill>
      <x:patternFill patternType="solid">
        <x:fgColor rgb="FFF6FAFA"/>
      </x:patternFill>
    </x:fill>
  </x:fills>
  <x:borders count="4">
    <x:border/>
    <x:border/>
    <x:border>
      <x:top style="thin">
        <x:color rgb="FF153A3A"/>
      </x:top>
    </x:border>
    <x:border>
      <x:top style="thin">
        <x:color rgb="FF153A3A"/>
      </x:top>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1" fontId="4" fillId="0" borderId="0" xfId="0" applyNumberFormat="1" applyFont="1" applyFill="1" applyBorder="1"/>
    <x:xf numFmtId="201" fontId="4" fillId="0" borderId="1" xfId="0" applyNumberFormat="1" applyFont="1" applyFill="1" applyBorder="1"/>
    <x:xf numFmtId="0" fontId="0" fillId="0" borderId="0" xfId="0" applyNumberFormat="1" applyFont="1" applyFill="1" applyBorder="1" applyAlignment="1">
      <x:alignment wrapText="1"/>
    </x:xf>
    <x:xf numFmtId="200" fontId="4" fillId="0" borderId="0" xfId="0" applyNumberFormat="1" applyFont="1" applyFill="1" applyBorder="1" applyAlignment="1">
      <x:alignment wrapText="1"/>
    </x:xf>
    <x:xf numFmtId="201" fontId="4"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4" fillId="0" borderId="1" xfId="0" applyNumberFormat="1" applyFont="1" applyFill="1" applyBorder="1" applyAlignment="1">
      <x:alignment wrapText="1"/>
    </x:xf>
    <x:xf numFmtId="201" fontId="4" fillId="0"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200" fontId="3" fillId="4" borderId="2" xfId="0" applyNumberFormat="1" applyFont="1" applyFill="1" applyBorder="1"/>
    <x:xf numFmtId="200" fontId="3" fillId="4" borderId="3"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200" fontId="2" fillId="2" borderId="0" xfId="0" applyNumberFormat="1" applyFont="1" applyFill="1" applyBorder="1"/>
    <x:xf numFmtId="200" fontId="2" fillId="2"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201" fontId="4" fillId="7" borderId="0" xfId="0" applyNumberFormat="1" applyFont="1" applyFill="1" applyBorder="1"/>
    <x:xf numFmtId="201" fontId="4" fillId="7" borderId="0" xfId="0" applyNumberFormat="1" applyFont="1" applyFill="1" applyBorder="1" applyAlignment="1">
      <x:alignment wrapText="1"/>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2" fillId="9" borderId="0" xfId="0" applyNumberFormat="1" applyFont="1" applyFill="1" applyBorder="1"/>
    <x:xf numFmtId="200" fontId="4" fillId="7" borderId="0" xfId="0" applyNumberFormat="1" applyFont="1" applyFill="1" applyBorder="1"/>
    <x:xf numFmtId="203" fontId="4" fillId="7" borderId="0" xfId="0" applyNumberFormat="1" applyFont="1" applyFill="1" applyBorder="1"/>
    <x:xf numFmtId="200" fontId="6" fillId="0" borderId="0" xfId="0" applyNumberFormat="1" applyFont="1" applyFill="1" applyBorder="1"/>
    <x:xf numFmtId="200" fontId="7" fillId="4" borderId="2" xfId="0" applyNumberFormat="1" applyFont="1" applyFill="1" applyBorder="1"/>
    <x:xf numFmtId="201" fontId="6" fillId="0" borderId="0" xfId="0" applyNumberFormat="1" applyFont="1" applyFill="1" applyBorder="1"/>
    <x:xf numFmtId="200" fontId="8" fillId="0" borderId="0" xfId="0" applyNumberFormat="1" applyFont="1" applyFill="1" applyBorder="1"/>
    <x:xf numFmtId="200" fontId="9" fillId="2" borderId="0" xfId="0" applyNumberFormat="1" applyFont="1" applyFill="1" applyBorder="1"/>
    <x:xf numFmtId="202" fontId="6" fillId="0" borderId="0" xfId="0" applyNumberFormat="1" applyFont="1" applyFill="1" applyBorder="1"/>
    <x:xf numFmtId="200" fontId="2" fillId="6" borderId="0" xfId="0" applyNumberFormat="1" applyFont="1" applyFill="1" applyBorder="1" applyAlignment="1">
      <x:alignment horizontal="center" vertical="center" wrapText="1"/>
    </x:xf>
    <x:xf numFmtId="0" fontId="10" fillId="6" borderId="0" xfId="0" applyNumberFormat="1" applyFont="1" applyFill="1" applyBorder="1" applyAlignment="1">
      <x:alignment horizontal="center" vertical="center" wrapText="1"/>
    </x:xf>
    <x:xf numFmtId="200" fontId="10" fillId="6" borderId="0" xfId="0" applyNumberFormat="1" applyFont="1" applyFill="1" applyBorder="1" applyAlignment="1">
      <x:alignment horizontal="center" vertical="center" wrapText="1"/>
    </x:xf>
    <x:xf numFmtId="200" fontId="11" fillId="0" borderId="0" xfId="0" applyNumberFormat="1" applyFont="1" applyFill="1" applyBorder="1"/>
    <x:xf numFmtId="0" fontId="11" fillId="0" borderId="0" xfId="0" applyNumberFormat="1" applyFont="1" applyFill="1" applyBorder="1"/>
    <x:xf numFmtId="200" fontId="11" fillId="0" borderId="0" xfId="0" applyNumberFormat="1" applyFont="1" applyFill="1" applyBorder="1" applyAlignment="1">
      <x:alignment wrapText="1"/>
    </x:xf>
    <x:xf numFmtId="0" fontId="11" fillId="0" borderId="0" xfId="0" applyNumberFormat="1" applyFont="1" applyFill="1" applyBorder="1" applyAlignment="1">
      <x:alignment wrapText="1"/>
    </x:xf>
    <x:xf numFmtId="201" fontId="8" fillId="0" borderId="0" xfId="0" applyNumberFormat="1" applyFont="1" applyFill="1" applyBorder="1"/>
    <x:xf numFmtId="0" fontId="0"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7" fillId="2" borderId="0" xfId="0" applyNumberFormat="1" applyFont="1" applyFill="1" applyBorder="1" applyAlignment="1">
      <x:alignment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cellXfs>
  <x:cellStyles count="1">
    <x:cellStyle name="Normal" xfId="0"/>
  </x:cellStyles>
  <x:dxfs count="4">
    <x:dxf>
      <x:font>
        <x:color rgb="FFB42318"/>
      </x:font>
      <x:fill>
        <x:patternFill>
          <x:bgColor rgb="FFFDECEC"/>
        </x:patternFill>
      </x:fill>
    </x:dxf>
    <x:dxf>
      <x:font>
        <x:color rgb="FFB42318"/>
      </x:font>
      <x:fill>
        <x:patternFill>
          <x:bgColor rgb="FFFDECEC"/>
        </x:patternFill>
      </x:fill>
    </x:dxf>
    <x:dxf>
      <x:font>
        <x:color rgb="FFB42318"/>
      </x:font>
      <x:fill>
        <x:patternFill>
          <x:bgColor rgb="FFFDECEC"/>
        </x:patternFill>
      </x:fill>
    </x:dxf>
    <x:dxf>
      <x:font>
        <x:color rgb="FFB42318"/>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6746d7e8a747de" /><Relationship Type="http://schemas.openxmlformats.org/officeDocument/2006/relationships/theme" Target="/xl/theme/theme1.xml" Id="Rac344003a3a84354" /><Relationship Type="http://schemas.openxmlformats.org/officeDocument/2006/relationships/sharedStrings" Target="/xl/sharedStrings.xml" Id="R6305373231a04c32" /><Relationship Type="http://schemas.openxmlformats.org/officeDocument/2006/relationships/worksheet" Target="/xl/worksheets/sheet1.xml" Id="Rbcca2cea66714d92" /><Relationship Type="http://schemas.openxmlformats.org/officeDocument/2006/relationships/worksheet" Target="/xl/worksheets/sheet2.xml" Id="Rf0d72a942e344ea7" /><Relationship Type="http://schemas.openxmlformats.org/officeDocument/2006/relationships/worksheet" Target="/xl/worksheets/sheet3.xml" Id="Re699916f67ef4ffc" /><Relationship Type="http://schemas.openxmlformats.org/officeDocument/2006/relationships/worksheet" Target="/xl/worksheets/sheet4.xml" Id="R57f3cb0f5dca41de" /><Relationship Type="http://schemas.openxmlformats.org/officeDocument/2006/relationships/worksheet" Target="/xl/worksheets/sheet5.xml" Id="R37292656e0224963" /><Relationship Type="http://schemas.openxmlformats.org/officeDocument/2006/relationships/worksheet" Target="/xl/worksheets/sheet6.xml" Id="Rda321ac673074da3" /><Relationship Type="http://schemas.openxmlformats.org/officeDocument/2006/relationships/worksheet" Target="/xl/worksheets/sheet7.xml" Id="Rdb88023f70c04858" /><Relationship Type="http://schemas.openxmlformats.org/officeDocument/2006/relationships/worksheet" Target="/xl/worksheets/sheet8.xml" Id="Rd429fffc825a457a" /><Relationship Type="http://schemas.openxmlformats.org/officeDocument/2006/relationships/worksheet" Target="/xl/worksheets/sheet9.xml" Id="R2b874d77a55546a0" /><Relationship Type="http://schemas.openxmlformats.org/officeDocument/2006/relationships/worksheet" Target="/xl/worksheets/sheet10.xml" Id="R51566bb152f34970" /><Relationship Type="http://schemas.openxmlformats.org/officeDocument/2006/relationships/worksheet" Target="/xl/worksheets/sheet11.xml" Id="Ra0f6a11dbc0945b6" /><Relationship Type="http://schemas.openxmlformats.org/officeDocument/2006/relationships/worksheet" Target="/xl/worksheets/sheet12.xml" Id="R005ff1ad2e7449df" /><Relationship Type="http://schemas.openxmlformats.org/officeDocument/2006/relationships/worksheet" Target="/xl/worksheets/sheet13.xml" Id="R9be4272192e54757" /><Relationship Type="http://schemas.openxmlformats.org/officeDocument/2006/relationships/worksheet" Target="/xl/worksheets/sheet14.xml" Id="R5126d7819986429e" /><Relationship Type="http://schemas.openxmlformats.org/officeDocument/2006/relationships/worksheet" Target="/xl/worksheets/sheet15.xml" Id="Rbea351549f1f432a" /><Relationship Type="http://schemas.openxmlformats.org/officeDocument/2006/relationships/worksheet" Target="/xl/worksheets/sheet16.xml" Id="R1d0a46c1203948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9220b804ea2048ab" /><Relationship Type="http://schemas.openxmlformats.org/officeDocument/2006/relationships/chart" Target="/xl/drawings/charts/chart2.xml" Id="R24080204920f42ac" /></Relationships>
</file>

<file path=xl/drawings/_rels/drawing2.xml.rels>&#65279;<?xml version="1.0" encoding="utf-8"?><Relationships xmlns="http://schemas.openxmlformats.org/package/2006/relationships"><Relationship Type="http://schemas.openxmlformats.org/officeDocument/2006/relationships/chart" Target="/xl/drawings/charts/chart3.xml" Id="R3f383d79550c434b" /><Relationship Type="http://schemas.openxmlformats.org/officeDocument/2006/relationships/chart" Target="/xl/drawings/charts/chart4.xml" Id="R314597df0c60406e" /></Relationships>
</file>

<file path=xl/drawings/_rels/drawing3.xml.rels>&#65279;<?xml version="1.0" encoding="utf-8"?><Relationships xmlns="http://schemas.openxmlformats.org/package/2006/relationships"><Relationship Type="http://schemas.openxmlformats.org/officeDocument/2006/relationships/chart" Target="/xl/drawings/charts/chart5.xml" Id="R9df864b3e8994081" /><Relationship Type="http://schemas.openxmlformats.org/officeDocument/2006/relationships/chart" Target="/xl/drawings/charts/chart6.xml" Id="Rd7ae3b2465f64155" /></Relationships>
</file>

<file path=xl/drawings/_rels/drawing4.xml.rels>&#65279;<?xml version="1.0" encoding="utf-8"?><Relationships xmlns="http://schemas.openxmlformats.org/package/2006/relationships"><Relationship Type="http://schemas.openxmlformats.org/officeDocument/2006/relationships/chart" Target="/xl/drawings/charts/chart7.xml" Id="Ra6f41be97f424b4e" /><Relationship Type="http://schemas.openxmlformats.org/officeDocument/2006/relationships/chart" Target="/xl/drawings/charts/chart8.xml" Id="R0b2ef6a07ef14471"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CAPEX دون الأرض</c:v>
          </c:tx>
          <c:cat>
            <c:strRef>
              <c:f>'Investor Dashboard'!$A$6:$A$8</c:f>
              <c:strCache>
                <c:ptCount val="0"/>
              </c:strCache>
            </c:strRef>
          </c:cat>
          <c:val>
            <c:numRef>
              <c:f>'Investor Dashboard'!$C$6:$C$8</c:f>
              <c:numCache>
                <c:formatCode>General</c:formatCode>
                <c:ptCount val="0"/>
              </c:numCache>
            </c:numRef>
          </c:val>
        </c:ser>
        <c:ser>
          <c:idx val="1"/>
          <c:order val="1"/>
          <c:tx>
            <c:v>إيراد سنة 1</c:v>
          </c:tx>
          <c:cat>
            <c:strRef>
              <c:f>'Investor Dashboard'!$A$6:$A$8</c:f>
              <c:strCache>
                <c:ptCount val="0"/>
              </c:strCache>
            </c:strRef>
          </c:cat>
          <c:val>
            <c:numRef>
              <c:f>'Investor Dashboard'!$E$6:$E$8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grouping val="clustered"/>
        <c:varyColors val="0"/>
        <c:ser>
          <c:idx val="0"/>
          <c:order val="0"/>
          <c:tx>
            <c:v>EBITDA</c:v>
          </c:tx>
          <c:cat>
            <c:strRef>
              <c:f>'Investor Dashboard'!$A$6:$A$8</c:f>
              <c:strCache>
                <c:ptCount val="0"/>
              </c:strCache>
            </c:strRef>
          </c:cat>
          <c:val>
            <c:numRef>
              <c:f>'Investor Dashboard'!$H$6:$H$8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نمو الإيرادات</a:t>
            </a:r>
          </a:p>
        </c:rich>
      </c:tx>
      <c:overlay val="0"/>
    </c:title>
    <c:autoTitleDeleted val="0"/>
    <c:plotArea>
      <c:layout/>
      <c:lineChart>
        <c:grouping val="standard"/>
        <c:varyColors val="0"/>
        <c:ser>
          <c:idx val="0"/>
          <c:order val="0"/>
          <c:tx>
            <c:v>Series 1</c:v>
          </c:tx>
          <c:cat>
            <c:strRef>
              <c:f>'CS - 10Y Model'!$B$4</c:f>
              <c:strCache>
                <c:ptCount val="0"/>
              </c:strCache>
            </c:strRef>
          </c:cat>
          <c:val>
            <c:numRef>
              <c:f>'CS - 10Y Model'!$C$4</c:f>
              <c:numCache>
                <c:formatCode>#,##0;[Red](#,##0);-</c:formatCode>
                <c:ptCount val="0"/>
              </c:numCache>
            </c:numRef>
          </c:val>
          <c:smooth val="0"/>
        </c:ser>
        <c:ser>
          <c:idx val="1"/>
          <c:order val="1"/>
          <c:tx>
            <c:v>Series 2</c:v>
          </c:tx>
          <c:cat>
            <c:strRef>
              <c:f>'CS - 10Y Model'!$B$4</c:f>
              <c:strCache>
                <c:ptCount val="0"/>
              </c:strCache>
            </c:strRef>
          </c:cat>
          <c:val>
            <c:numRef>
              <c:f>'CS - 10Y Model'!$D$4</c:f>
              <c:numCache>
                <c:formatCode>#,##0;[Red](#,##0);-</c:formatCode>
                <c:ptCount val="0"/>
              </c:numCache>
            </c:numRef>
          </c:val>
          <c:smooth val="0"/>
        </c:ser>
        <c:ser>
          <c:idx val="2"/>
          <c:order val="2"/>
          <c:tx>
            <c:v>Series 3</c:v>
          </c:tx>
          <c:cat>
            <c:strRef>
              <c:f>'CS - 10Y Model'!$B$4</c:f>
              <c:strCache>
                <c:ptCount val="0"/>
              </c:strCache>
            </c:strRef>
          </c:cat>
          <c:val>
            <c:numRef>
              <c:f>'CS - 10Y Model'!$E$4</c:f>
              <c:numCache>
                <c:formatCode>#,##0;[Red](#,##0);-</c:formatCode>
                <c:ptCount val="0"/>
              </c:numCache>
            </c:numRef>
          </c:val>
          <c:smooth val="0"/>
        </c:ser>
        <c:ser>
          <c:idx val="3"/>
          <c:order val="3"/>
          <c:tx>
            <c:v>Series 4</c:v>
          </c:tx>
          <c:cat>
            <c:strRef>
              <c:f>'CS - 10Y Model'!$B$4</c:f>
              <c:strCache>
                <c:ptCount val="0"/>
              </c:strCache>
            </c:strRef>
          </c:cat>
          <c:val>
            <c:numRef>
              <c:f>'CS - 10Y Model'!$F$4</c:f>
              <c:numCache>
                <c:formatCode>#,##0;[Red](#,##0);-</c:formatCode>
                <c:ptCount val="0"/>
              </c:numCache>
            </c:numRef>
          </c:val>
          <c:smooth val="0"/>
        </c:ser>
        <c:ser>
          <c:idx val="4"/>
          <c:order val="4"/>
          <c:tx>
            <c:v>Series 5</c:v>
          </c:tx>
          <c:cat>
            <c:strRef>
              <c:f>'CS - 10Y Model'!$B$4</c:f>
              <c:strCache>
                <c:ptCount val="0"/>
              </c:strCache>
            </c:strRef>
          </c:cat>
          <c:val>
            <c:numRef>
              <c:f>'CS - 10Y Model'!$G$4</c:f>
              <c:numCache>
                <c:formatCode>#,##0;[Red](#,##0);-</c:formatCode>
                <c:ptCount val="0"/>
              </c:numCache>
            </c:numRef>
          </c:val>
          <c:smooth val="0"/>
        </c:ser>
        <c:ser>
          <c:idx val="5"/>
          <c:order val="5"/>
          <c:tx>
            <c:v>Series 6</c:v>
          </c:tx>
          <c:cat>
            <c:strRef>
              <c:f>'CS - 10Y Model'!$B$4</c:f>
              <c:strCache>
                <c:ptCount val="0"/>
              </c:strCache>
            </c:strRef>
          </c:cat>
          <c:val>
            <c:numRef>
              <c:f>'CS - 10Y Model'!$H$4</c:f>
              <c:numCache>
                <c:formatCode>#,##0;[Red](#,##0);-</c:formatCode>
                <c:ptCount val="0"/>
              </c:numCache>
            </c:numRef>
          </c:val>
          <c:smooth val="0"/>
        </c:ser>
        <c:ser>
          <c:idx val="6"/>
          <c:order val="6"/>
          <c:tx>
            <c:v>Series 7</c:v>
          </c:tx>
          <c:cat>
            <c:strRef>
              <c:f>'CS - 10Y Model'!$B$4</c:f>
              <c:strCache>
                <c:ptCount val="0"/>
              </c:strCache>
            </c:strRef>
          </c:cat>
          <c:val>
            <c:numRef>
              <c:f>'CS - 10Y Model'!$I$4</c:f>
              <c:numCache>
                <c:formatCode>#,##0;[Red](#,##0);-</c:formatCode>
                <c:ptCount val="0"/>
              </c:numCache>
            </c:numRef>
          </c:val>
          <c:smooth val="0"/>
        </c:ser>
        <c:ser>
          <c:idx val="7"/>
          <c:order val="7"/>
          <c:tx>
            <c:v>Series 8</c:v>
          </c:tx>
          <c:cat>
            <c:strRef>
              <c:f>'CS - 10Y Model'!$B$4</c:f>
              <c:strCache>
                <c:ptCount val="0"/>
              </c:strCache>
            </c:strRef>
          </c:cat>
          <c:val>
            <c:numRef>
              <c:f>'CS - 10Y Model'!$J$4</c:f>
              <c:numCache>
                <c:formatCode>#,##0;[Red](#,##0);-</c:formatCode>
                <c:ptCount val="0"/>
              </c:numCache>
            </c:numRef>
          </c:val>
          <c:smooth val="0"/>
        </c:ser>
        <c:ser>
          <c:idx val="8"/>
          <c:order val="8"/>
          <c:tx>
            <c:v>Series 9</c:v>
          </c:tx>
          <c:cat>
            <c:strRef>
              <c:f>'CS - 10Y Model'!$B$4</c:f>
              <c:strCache>
                <c:ptCount val="0"/>
              </c:strCache>
            </c:strRef>
          </c:cat>
          <c:val>
            <c:numRef>
              <c:f>'CS - 10Y Model'!$K$4</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EBITDA</a:t>
            </a:r>
          </a:p>
        </c:rich>
      </c:tx>
      <c:overlay val="0"/>
    </c:title>
    <c:autoTitleDeleted val="0"/>
    <c:plotArea>
      <c:layout/>
      <c:lineChart>
        <c:grouping val="standard"/>
        <c:varyColors val="0"/>
        <c:ser>
          <c:idx val="0"/>
          <c:order val="0"/>
          <c:tx>
            <c:v>Series 1</c:v>
          </c:tx>
          <c:cat>
            <c:strRef>
              <c:f>'CS - 10Y Model'!$B$9</c:f>
              <c:strCache>
                <c:ptCount val="0"/>
              </c:strCache>
            </c:strRef>
          </c:cat>
          <c:val>
            <c:numRef>
              <c:f>'CS - 10Y Model'!$C$9</c:f>
              <c:numCache>
                <c:formatCode>#,##0;[Red](#,##0);-</c:formatCode>
                <c:ptCount val="0"/>
              </c:numCache>
            </c:numRef>
          </c:val>
          <c:smooth val="0"/>
        </c:ser>
        <c:ser>
          <c:idx val="1"/>
          <c:order val="1"/>
          <c:tx>
            <c:v>Series 2</c:v>
          </c:tx>
          <c:cat>
            <c:strRef>
              <c:f>'CS - 10Y Model'!$B$9</c:f>
              <c:strCache>
                <c:ptCount val="0"/>
              </c:strCache>
            </c:strRef>
          </c:cat>
          <c:val>
            <c:numRef>
              <c:f>'CS - 10Y Model'!$D$9</c:f>
              <c:numCache>
                <c:formatCode>#,##0;[Red](#,##0);-</c:formatCode>
                <c:ptCount val="0"/>
              </c:numCache>
            </c:numRef>
          </c:val>
          <c:smooth val="0"/>
        </c:ser>
        <c:ser>
          <c:idx val="2"/>
          <c:order val="2"/>
          <c:tx>
            <c:v>Series 3</c:v>
          </c:tx>
          <c:cat>
            <c:strRef>
              <c:f>'CS - 10Y Model'!$B$9</c:f>
              <c:strCache>
                <c:ptCount val="0"/>
              </c:strCache>
            </c:strRef>
          </c:cat>
          <c:val>
            <c:numRef>
              <c:f>'CS - 10Y Model'!$E$9</c:f>
              <c:numCache>
                <c:formatCode>#,##0;[Red](#,##0);-</c:formatCode>
                <c:ptCount val="0"/>
              </c:numCache>
            </c:numRef>
          </c:val>
          <c:smooth val="0"/>
        </c:ser>
        <c:ser>
          <c:idx val="3"/>
          <c:order val="3"/>
          <c:tx>
            <c:v>Series 4</c:v>
          </c:tx>
          <c:cat>
            <c:strRef>
              <c:f>'CS - 10Y Model'!$B$9</c:f>
              <c:strCache>
                <c:ptCount val="0"/>
              </c:strCache>
            </c:strRef>
          </c:cat>
          <c:val>
            <c:numRef>
              <c:f>'CS - 10Y Model'!$F$9</c:f>
              <c:numCache>
                <c:formatCode>#,##0;[Red](#,##0);-</c:formatCode>
                <c:ptCount val="0"/>
              </c:numCache>
            </c:numRef>
          </c:val>
          <c:smooth val="0"/>
        </c:ser>
        <c:ser>
          <c:idx val="4"/>
          <c:order val="4"/>
          <c:tx>
            <c:v>Series 5</c:v>
          </c:tx>
          <c:cat>
            <c:strRef>
              <c:f>'CS - 10Y Model'!$B$9</c:f>
              <c:strCache>
                <c:ptCount val="0"/>
              </c:strCache>
            </c:strRef>
          </c:cat>
          <c:val>
            <c:numRef>
              <c:f>'CS - 10Y Model'!$G$9</c:f>
              <c:numCache>
                <c:formatCode>#,##0;[Red](#,##0);-</c:formatCode>
                <c:ptCount val="0"/>
              </c:numCache>
            </c:numRef>
          </c:val>
          <c:smooth val="0"/>
        </c:ser>
        <c:ser>
          <c:idx val="5"/>
          <c:order val="5"/>
          <c:tx>
            <c:v>Series 6</c:v>
          </c:tx>
          <c:cat>
            <c:strRef>
              <c:f>'CS - 10Y Model'!$B$9</c:f>
              <c:strCache>
                <c:ptCount val="0"/>
              </c:strCache>
            </c:strRef>
          </c:cat>
          <c:val>
            <c:numRef>
              <c:f>'CS - 10Y Model'!$H$9</c:f>
              <c:numCache>
                <c:formatCode>#,##0;[Red](#,##0);-</c:formatCode>
                <c:ptCount val="0"/>
              </c:numCache>
            </c:numRef>
          </c:val>
          <c:smooth val="0"/>
        </c:ser>
        <c:ser>
          <c:idx val="6"/>
          <c:order val="6"/>
          <c:tx>
            <c:v>Series 7</c:v>
          </c:tx>
          <c:cat>
            <c:strRef>
              <c:f>'CS - 10Y Model'!$B$9</c:f>
              <c:strCache>
                <c:ptCount val="0"/>
              </c:strCache>
            </c:strRef>
          </c:cat>
          <c:val>
            <c:numRef>
              <c:f>'CS - 10Y Model'!$I$9</c:f>
              <c:numCache>
                <c:formatCode>#,##0;[Red](#,##0);-</c:formatCode>
                <c:ptCount val="0"/>
              </c:numCache>
            </c:numRef>
          </c:val>
          <c:smooth val="0"/>
        </c:ser>
        <c:ser>
          <c:idx val="7"/>
          <c:order val="7"/>
          <c:tx>
            <c:v>Series 8</c:v>
          </c:tx>
          <c:cat>
            <c:strRef>
              <c:f>'CS - 10Y Model'!$B$9</c:f>
              <c:strCache>
                <c:ptCount val="0"/>
              </c:strCache>
            </c:strRef>
          </c:cat>
          <c:val>
            <c:numRef>
              <c:f>'CS - 10Y Model'!$J$9</c:f>
              <c:numCache>
                <c:formatCode>#,##0;[Red](#,##0);-</c:formatCode>
                <c:ptCount val="0"/>
              </c:numCache>
            </c:numRef>
          </c:val>
          <c:smooth val="0"/>
        </c:ser>
        <c:ser>
          <c:idx val="8"/>
          <c:order val="8"/>
          <c:tx>
            <c:v>Series 9</c:v>
          </c:tx>
          <c:cat>
            <c:strRef>
              <c:f>'CS - 10Y Model'!$B$9</c:f>
              <c:strCache>
                <c:ptCount val="0"/>
              </c:strCache>
            </c:strRef>
          </c:cat>
          <c:val>
            <c:numRef>
              <c:f>'CS - 10Y Model'!$K$9</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نمو الإيرادات</a:t>
            </a:r>
          </a:p>
        </c:rich>
      </c:tx>
      <c:overlay val="0"/>
    </c:title>
    <c:autoTitleDeleted val="0"/>
    <c:plotArea>
      <c:layout/>
      <c:lineChart>
        <c:grouping val="standard"/>
        <c:varyColors val="0"/>
        <c:ser>
          <c:idx val="0"/>
          <c:order val="0"/>
          <c:tx>
            <c:v>Series 1</c:v>
          </c:tx>
          <c:cat>
            <c:strRef>
              <c:f>'School - 10Y Model'!$B$4</c:f>
              <c:strCache>
                <c:ptCount val="0"/>
              </c:strCache>
            </c:strRef>
          </c:cat>
          <c:val>
            <c:numRef>
              <c:f>'School - 10Y Model'!$C$4</c:f>
              <c:numCache>
                <c:formatCode>#,##0;[Red](#,##0);-</c:formatCode>
                <c:ptCount val="0"/>
              </c:numCache>
            </c:numRef>
          </c:val>
          <c:smooth val="0"/>
        </c:ser>
        <c:ser>
          <c:idx val="1"/>
          <c:order val="1"/>
          <c:tx>
            <c:v>Series 2</c:v>
          </c:tx>
          <c:cat>
            <c:strRef>
              <c:f>'School - 10Y Model'!$B$4</c:f>
              <c:strCache>
                <c:ptCount val="0"/>
              </c:strCache>
            </c:strRef>
          </c:cat>
          <c:val>
            <c:numRef>
              <c:f>'School - 10Y Model'!$D$4</c:f>
              <c:numCache>
                <c:formatCode>#,##0;[Red](#,##0);-</c:formatCode>
                <c:ptCount val="0"/>
              </c:numCache>
            </c:numRef>
          </c:val>
          <c:smooth val="0"/>
        </c:ser>
        <c:ser>
          <c:idx val="2"/>
          <c:order val="2"/>
          <c:tx>
            <c:v>Series 3</c:v>
          </c:tx>
          <c:cat>
            <c:strRef>
              <c:f>'School - 10Y Model'!$B$4</c:f>
              <c:strCache>
                <c:ptCount val="0"/>
              </c:strCache>
            </c:strRef>
          </c:cat>
          <c:val>
            <c:numRef>
              <c:f>'School - 10Y Model'!$E$4</c:f>
              <c:numCache>
                <c:formatCode>#,##0;[Red](#,##0);-</c:formatCode>
                <c:ptCount val="0"/>
              </c:numCache>
            </c:numRef>
          </c:val>
          <c:smooth val="0"/>
        </c:ser>
        <c:ser>
          <c:idx val="3"/>
          <c:order val="3"/>
          <c:tx>
            <c:v>Series 4</c:v>
          </c:tx>
          <c:cat>
            <c:strRef>
              <c:f>'School - 10Y Model'!$B$4</c:f>
              <c:strCache>
                <c:ptCount val="0"/>
              </c:strCache>
            </c:strRef>
          </c:cat>
          <c:val>
            <c:numRef>
              <c:f>'School - 10Y Model'!$F$4</c:f>
              <c:numCache>
                <c:formatCode>#,##0;[Red](#,##0);-</c:formatCode>
                <c:ptCount val="0"/>
              </c:numCache>
            </c:numRef>
          </c:val>
          <c:smooth val="0"/>
        </c:ser>
        <c:ser>
          <c:idx val="4"/>
          <c:order val="4"/>
          <c:tx>
            <c:v>Series 5</c:v>
          </c:tx>
          <c:cat>
            <c:strRef>
              <c:f>'School - 10Y Model'!$B$4</c:f>
              <c:strCache>
                <c:ptCount val="0"/>
              </c:strCache>
            </c:strRef>
          </c:cat>
          <c:val>
            <c:numRef>
              <c:f>'School - 10Y Model'!$G$4</c:f>
              <c:numCache>
                <c:formatCode>#,##0;[Red](#,##0);-</c:formatCode>
                <c:ptCount val="0"/>
              </c:numCache>
            </c:numRef>
          </c:val>
          <c:smooth val="0"/>
        </c:ser>
        <c:ser>
          <c:idx val="5"/>
          <c:order val="5"/>
          <c:tx>
            <c:v>Series 6</c:v>
          </c:tx>
          <c:cat>
            <c:strRef>
              <c:f>'School - 10Y Model'!$B$4</c:f>
              <c:strCache>
                <c:ptCount val="0"/>
              </c:strCache>
            </c:strRef>
          </c:cat>
          <c:val>
            <c:numRef>
              <c:f>'School - 10Y Model'!$H$4</c:f>
              <c:numCache>
                <c:formatCode>#,##0;[Red](#,##0);-</c:formatCode>
                <c:ptCount val="0"/>
              </c:numCache>
            </c:numRef>
          </c:val>
          <c:smooth val="0"/>
        </c:ser>
        <c:ser>
          <c:idx val="6"/>
          <c:order val="6"/>
          <c:tx>
            <c:v>Series 7</c:v>
          </c:tx>
          <c:cat>
            <c:strRef>
              <c:f>'School - 10Y Model'!$B$4</c:f>
              <c:strCache>
                <c:ptCount val="0"/>
              </c:strCache>
            </c:strRef>
          </c:cat>
          <c:val>
            <c:numRef>
              <c:f>'School - 10Y Model'!$I$4</c:f>
              <c:numCache>
                <c:formatCode>#,##0;[Red](#,##0);-</c:formatCode>
                <c:ptCount val="0"/>
              </c:numCache>
            </c:numRef>
          </c:val>
          <c:smooth val="0"/>
        </c:ser>
        <c:ser>
          <c:idx val="7"/>
          <c:order val="7"/>
          <c:tx>
            <c:v>Series 8</c:v>
          </c:tx>
          <c:cat>
            <c:strRef>
              <c:f>'School - 10Y Model'!$B$4</c:f>
              <c:strCache>
                <c:ptCount val="0"/>
              </c:strCache>
            </c:strRef>
          </c:cat>
          <c:val>
            <c:numRef>
              <c:f>'School - 10Y Model'!$J$4</c:f>
              <c:numCache>
                <c:formatCode>#,##0;[Red](#,##0);-</c:formatCode>
                <c:ptCount val="0"/>
              </c:numCache>
            </c:numRef>
          </c:val>
          <c:smooth val="0"/>
        </c:ser>
        <c:ser>
          <c:idx val="8"/>
          <c:order val="8"/>
          <c:tx>
            <c:v>Series 9</c:v>
          </c:tx>
          <c:cat>
            <c:strRef>
              <c:f>'School - 10Y Model'!$B$4</c:f>
              <c:strCache>
                <c:ptCount val="0"/>
              </c:strCache>
            </c:strRef>
          </c:cat>
          <c:val>
            <c:numRef>
              <c:f>'School - 10Y Model'!$K$4</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EBITDA</a:t>
            </a:r>
          </a:p>
        </c:rich>
      </c:tx>
      <c:overlay val="0"/>
    </c:title>
    <c:autoTitleDeleted val="0"/>
    <c:plotArea>
      <c:layout/>
      <c:lineChart>
        <c:grouping val="standard"/>
        <c:varyColors val="0"/>
        <c:ser>
          <c:idx val="0"/>
          <c:order val="0"/>
          <c:tx>
            <c:v>Series 1</c:v>
          </c:tx>
          <c:cat>
            <c:strRef>
              <c:f>'School - 10Y Model'!$B$9</c:f>
              <c:strCache>
                <c:ptCount val="0"/>
              </c:strCache>
            </c:strRef>
          </c:cat>
          <c:val>
            <c:numRef>
              <c:f>'School - 10Y Model'!$C$9</c:f>
              <c:numCache>
                <c:formatCode>#,##0;[Red](#,##0);-</c:formatCode>
                <c:ptCount val="0"/>
              </c:numCache>
            </c:numRef>
          </c:val>
          <c:smooth val="0"/>
        </c:ser>
        <c:ser>
          <c:idx val="1"/>
          <c:order val="1"/>
          <c:tx>
            <c:v>Series 2</c:v>
          </c:tx>
          <c:cat>
            <c:strRef>
              <c:f>'School - 10Y Model'!$B$9</c:f>
              <c:strCache>
                <c:ptCount val="0"/>
              </c:strCache>
            </c:strRef>
          </c:cat>
          <c:val>
            <c:numRef>
              <c:f>'School - 10Y Model'!$D$9</c:f>
              <c:numCache>
                <c:formatCode>#,##0;[Red](#,##0);-</c:formatCode>
                <c:ptCount val="0"/>
              </c:numCache>
            </c:numRef>
          </c:val>
          <c:smooth val="0"/>
        </c:ser>
        <c:ser>
          <c:idx val="2"/>
          <c:order val="2"/>
          <c:tx>
            <c:v>Series 3</c:v>
          </c:tx>
          <c:cat>
            <c:strRef>
              <c:f>'School - 10Y Model'!$B$9</c:f>
              <c:strCache>
                <c:ptCount val="0"/>
              </c:strCache>
            </c:strRef>
          </c:cat>
          <c:val>
            <c:numRef>
              <c:f>'School - 10Y Model'!$E$9</c:f>
              <c:numCache>
                <c:formatCode>#,##0;[Red](#,##0);-</c:formatCode>
                <c:ptCount val="0"/>
              </c:numCache>
            </c:numRef>
          </c:val>
          <c:smooth val="0"/>
        </c:ser>
        <c:ser>
          <c:idx val="3"/>
          <c:order val="3"/>
          <c:tx>
            <c:v>Series 4</c:v>
          </c:tx>
          <c:cat>
            <c:strRef>
              <c:f>'School - 10Y Model'!$B$9</c:f>
              <c:strCache>
                <c:ptCount val="0"/>
              </c:strCache>
            </c:strRef>
          </c:cat>
          <c:val>
            <c:numRef>
              <c:f>'School - 10Y Model'!$F$9</c:f>
              <c:numCache>
                <c:formatCode>#,##0;[Red](#,##0);-</c:formatCode>
                <c:ptCount val="0"/>
              </c:numCache>
            </c:numRef>
          </c:val>
          <c:smooth val="0"/>
        </c:ser>
        <c:ser>
          <c:idx val="4"/>
          <c:order val="4"/>
          <c:tx>
            <c:v>Series 5</c:v>
          </c:tx>
          <c:cat>
            <c:strRef>
              <c:f>'School - 10Y Model'!$B$9</c:f>
              <c:strCache>
                <c:ptCount val="0"/>
              </c:strCache>
            </c:strRef>
          </c:cat>
          <c:val>
            <c:numRef>
              <c:f>'School - 10Y Model'!$G$9</c:f>
              <c:numCache>
                <c:formatCode>#,##0;[Red](#,##0);-</c:formatCode>
                <c:ptCount val="0"/>
              </c:numCache>
            </c:numRef>
          </c:val>
          <c:smooth val="0"/>
        </c:ser>
        <c:ser>
          <c:idx val="5"/>
          <c:order val="5"/>
          <c:tx>
            <c:v>Series 6</c:v>
          </c:tx>
          <c:cat>
            <c:strRef>
              <c:f>'School - 10Y Model'!$B$9</c:f>
              <c:strCache>
                <c:ptCount val="0"/>
              </c:strCache>
            </c:strRef>
          </c:cat>
          <c:val>
            <c:numRef>
              <c:f>'School - 10Y Model'!$H$9</c:f>
              <c:numCache>
                <c:formatCode>#,##0;[Red](#,##0);-</c:formatCode>
                <c:ptCount val="0"/>
              </c:numCache>
            </c:numRef>
          </c:val>
          <c:smooth val="0"/>
        </c:ser>
        <c:ser>
          <c:idx val="6"/>
          <c:order val="6"/>
          <c:tx>
            <c:v>Series 7</c:v>
          </c:tx>
          <c:cat>
            <c:strRef>
              <c:f>'School - 10Y Model'!$B$9</c:f>
              <c:strCache>
                <c:ptCount val="0"/>
              </c:strCache>
            </c:strRef>
          </c:cat>
          <c:val>
            <c:numRef>
              <c:f>'School - 10Y Model'!$I$9</c:f>
              <c:numCache>
                <c:formatCode>#,##0;[Red](#,##0);-</c:formatCode>
                <c:ptCount val="0"/>
              </c:numCache>
            </c:numRef>
          </c:val>
          <c:smooth val="0"/>
        </c:ser>
        <c:ser>
          <c:idx val="7"/>
          <c:order val="7"/>
          <c:tx>
            <c:v>Series 8</c:v>
          </c:tx>
          <c:cat>
            <c:strRef>
              <c:f>'School - 10Y Model'!$B$9</c:f>
              <c:strCache>
                <c:ptCount val="0"/>
              </c:strCache>
            </c:strRef>
          </c:cat>
          <c:val>
            <c:numRef>
              <c:f>'School - 10Y Model'!$J$9</c:f>
              <c:numCache>
                <c:formatCode>#,##0;[Red](#,##0);-</c:formatCode>
                <c:ptCount val="0"/>
              </c:numCache>
            </c:numRef>
          </c:val>
          <c:smooth val="0"/>
        </c:ser>
        <c:ser>
          <c:idx val="8"/>
          <c:order val="8"/>
          <c:tx>
            <c:v>Series 9</c:v>
          </c:tx>
          <c:cat>
            <c:strRef>
              <c:f>'School - 10Y Model'!$B$9</c:f>
              <c:strCache>
                <c:ptCount val="0"/>
              </c:strCache>
            </c:strRef>
          </c:cat>
          <c:val>
            <c:numRef>
              <c:f>'School - 10Y Model'!$K$9</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نمو الإيرادات</a:t>
            </a:r>
          </a:p>
        </c:rich>
      </c:tx>
      <c:overlay val="0"/>
    </c:title>
    <c:autoTitleDeleted val="0"/>
    <c:plotArea>
      <c:layout/>
      <c:lineChart>
        <c:grouping val="standard"/>
        <c:varyColors val="0"/>
        <c:ser>
          <c:idx val="0"/>
          <c:order val="0"/>
          <c:tx>
            <c:v>Series 1</c:v>
          </c:tx>
          <c:cat>
            <c:strRef>
              <c:f>'CH - 10Y Model'!$B$4</c:f>
              <c:strCache>
                <c:ptCount val="0"/>
              </c:strCache>
            </c:strRef>
          </c:cat>
          <c:val>
            <c:numRef>
              <c:f>'CH - 10Y Model'!$C$4</c:f>
              <c:numCache>
                <c:formatCode>#,##0;[Red](#,##0);-</c:formatCode>
                <c:ptCount val="0"/>
              </c:numCache>
            </c:numRef>
          </c:val>
          <c:smooth val="0"/>
        </c:ser>
        <c:ser>
          <c:idx val="1"/>
          <c:order val="1"/>
          <c:tx>
            <c:v>Series 2</c:v>
          </c:tx>
          <c:cat>
            <c:strRef>
              <c:f>'CH - 10Y Model'!$B$4</c:f>
              <c:strCache>
                <c:ptCount val="0"/>
              </c:strCache>
            </c:strRef>
          </c:cat>
          <c:val>
            <c:numRef>
              <c:f>'CH - 10Y Model'!$D$4</c:f>
              <c:numCache>
                <c:formatCode>#,##0;[Red](#,##0);-</c:formatCode>
                <c:ptCount val="0"/>
              </c:numCache>
            </c:numRef>
          </c:val>
          <c:smooth val="0"/>
        </c:ser>
        <c:ser>
          <c:idx val="2"/>
          <c:order val="2"/>
          <c:tx>
            <c:v>Series 3</c:v>
          </c:tx>
          <c:cat>
            <c:strRef>
              <c:f>'CH - 10Y Model'!$B$4</c:f>
              <c:strCache>
                <c:ptCount val="0"/>
              </c:strCache>
            </c:strRef>
          </c:cat>
          <c:val>
            <c:numRef>
              <c:f>'CH - 10Y Model'!$E$4</c:f>
              <c:numCache>
                <c:formatCode>#,##0;[Red](#,##0);-</c:formatCode>
                <c:ptCount val="0"/>
              </c:numCache>
            </c:numRef>
          </c:val>
          <c:smooth val="0"/>
        </c:ser>
        <c:ser>
          <c:idx val="3"/>
          <c:order val="3"/>
          <c:tx>
            <c:v>Series 4</c:v>
          </c:tx>
          <c:cat>
            <c:strRef>
              <c:f>'CH - 10Y Model'!$B$4</c:f>
              <c:strCache>
                <c:ptCount val="0"/>
              </c:strCache>
            </c:strRef>
          </c:cat>
          <c:val>
            <c:numRef>
              <c:f>'CH - 10Y Model'!$F$4</c:f>
              <c:numCache>
                <c:formatCode>#,##0;[Red](#,##0);-</c:formatCode>
                <c:ptCount val="0"/>
              </c:numCache>
            </c:numRef>
          </c:val>
          <c:smooth val="0"/>
        </c:ser>
        <c:ser>
          <c:idx val="4"/>
          <c:order val="4"/>
          <c:tx>
            <c:v>Series 5</c:v>
          </c:tx>
          <c:cat>
            <c:strRef>
              <c:f>'CH - 10Y Model'!$B$4</c:f>
              <c:strCache>
                <c:ptCount val="0"/>
              </c:strCache>
            </c:strRef>
          </c:cat>
          <c:val>
            <c:numRef>
              <c:f>'CH - 10Y Model'!$G$4</c:f>
              <c:numCache>
                <c:formatCode>#,##0;[Red](#,##0);-</c:formatCode>
                <c:ptCount val="0"/>
              </c:numCache>
            </c:numRef>
          </c:val>
          <c:smooth val="0"/>
        </c:ser>
        <c:ser>
          <c:idx val="5"/>
          <c:order val="5"/>
          <c:tx>
            <c:v>Series 6</c:v>
          </c:tx>
          <c:cat>
            <c:strRef>
              <c:f>'CH - 10Y Model'!$B$4</c:f>
              <c:strCache>
                <c:ptCount val="0"/>
              </c:strCache>
            </c:strRef>
          </c:cat>
          <c:val>
            <c:numRef>
              <c:f>'CH - 10Y Model'!$H$4</c:f>
              <c:numCache>
                <c:formatCode>#,##0;[Red](#,##0);-</c:formatCode>
                <c:ptCount val="0"/>
              </c:numCache>
            </c:numRef>
          </c:val>
          <c:smooth val="0"/>
        </c:ser>
        <c:ser>
          <c:idx val="6"/>
          <c:order val="6"/>
          <c:tx>
            <c:v>Series 7</c:v>
          </c:tx>
          <c:cat>
            <c:strRef>
              <c:f>'CH - 10Y Model'!$B$4</c:f>
              <c:strCache>
                <c:ptCount val="0"/>
              </c:strCache>
            </c:strRef>
          </c:cat>
          <c:val>
            <c:numRef>
              <c:f>'CH - 10Y Model'!$I$4</c:f>
              <c:numCache>
                <c:formatCode>#,##0;[Red](#,##0);-</c:formatCode>
                <c:ptCount val="0"/>
              </c:numCache>
            </c:numRef>
          </c:val>
          <c:smooth val="0"/>
        </c:ser>
        <c:ser>
          <c:idx val="7"/>
          <c:order val="7"/>
          <c:tx>
            <c:v>Series 8</c:v>
          </c:tx>
          <c:cat>
            <c:strRef>
              <c:f>'CH - 10Y Model'!$B$4</c:f>
              <c:strCache>
                <c:ptCount val="0"/>
              </c:strCache>
            </c:strRef>
          </c:cat>
          <c:val>
            <c:numRef>
              <c:f>'CH - 10Y Model'!$J$4</c:f>
              <c:numCache>
                <c:formatCode>#,##0;[Red](#,##0);-</c:formatCode>
                <c:ptCount val="0"/>
              </c:numCache>
            </c:numRef>
          </c:val>
          <c:smooth val="0"/>
        </c:ser>
        <c:ser>
          <c:idx val="8"/>
          <c:order val="8"/>
          <c:tx>
            <c:v>Series 9</c:v>
          </c:tx>
          <c:cat>
            <c:strRef>
              <c:f>'CH - 10Y Model'!$B$4</c:f>
              <c:strCache>
                <c:ptCount val="0"/>
              </c:strCache>
            </c:strRef>
          </c:cat>
          <c:val>
            <c:numRef>
              <c:f>'CH - 10Y Model'!$K$4</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EBITDA</a:t>
            </a:r>
          </a:p>
        </c:rich>
      </c:tx>
      <c:overlay val="0"/>
    </c:title>
    <c:autoTitleDeleted val="0"/>
    <c:plotArea>
      <c:layout/>
      <c:lineChart>
        <c:grouping val="standard"/>
        <c:varyColors val="0"/>
        <c:ser>
          <c:idx val="0"/>
          <c:order val="0"/>
          <c:tx>
            <c:v>Series 1</c:v>
          </c:tx>
          <c:cat>
            <c:strRef>
              <c:f>'CH - 10Y Model'!$B$9</c:f>
              <c:strCache>
                <c:ptCount val="0"/>
              </c:strCache>
            </c:strRef>
          </c:cat>
          <c:val>
            <c:numRef>
              <c:f>'CH - 10Y Model'!$C$9</c:f>
              <c:numCache>
                <c:formatCode>#,##0;[Red](#,##0);-</c:formatCode>
                <c:ptCount val="0"/>
              </c:numCache>
            </c:numRef>
          </c:val>
          <c:smooth val="0"/>
        </c:ser>
        <c:ser>
          <c:idx val="1"/>
          <c:order val="1"/>
          <c:tx>
            <c:v>Series 2</c:v>
          </c:tx>
          <c:cat>
            <c:strRef>
              <c:f>'CH - 10Y Model'!$B$9</c:f>
              <c:strCache>
                <c:ptCount val="0"/>
              </c:strCache>
            </c:strRef>
          </c:cat>
          <c:val>
            <c:numRef>
              <c:f>'CH - 10Y Model'!$D$9</c:f>
              <c:numCache>
                <c:formatCode>#,##0;[Red](#,##0);-</c:formatCode>
                <c:ptCount val="0"/>
              </c:numCache>
            </c:numRef>
          </c:val>
          <c:smooth val="0"/>
        </c:ser>
        <c:ser>
          <c:idx val="2"/>
          <c:order val="2"/>
          <c:tx>
            <c:v>Series 3</c:v>
          </c:tx>
          <c:cat>
            <c:strRef>
              <c:f>'CH - 10Y Model'!$B$9</c:f>
              <c:strCache>
                <c:ptCount val="0"/>
              </c:strCache>
            </c:strRef>
          </c:cat>
          <c:val>
            <c:numRef>
              <c:f>'CH - 10Y Model'!$E$9</c:f>
              <c:numCache>
                <c:formatCode>#,##0;[Red](#,##0);-</c:formatCode>
                <c:ptCount val="0"/>
              </c:numCache>
            </c:numRef>
          </c:val>
          <c:smooth val="0"/>
        </c:ser>
        <c:ser>
          <c:idx val="3"/>
          <c:order val="3"/>
          <c:tx>
            <c:v>Series 4</c:v>
          </c:tx>
          <c:cat>
            <c:strRef>
              <c:f>'CH - 10Y Model'!$B$9</c:f>
              <c:strCache>
                <c:ptCount val="0"/>
              </c:strCache>
            </c:strRef>
          </c:cat>
          <c:val>
            <c:numRef>
              <c:f>'CH - 10Y Model'!$F$9</c:f>
              <c:numCache>
                <c:formatCode>#,##0;[Red](#,##0);-</c:formatCode>
                <c:ptCount val="0"/>
              </c:numCache>
            </c:numRef>
          </c:val>
          <c:smooth val="0"/>
        </c:ser>
        <c:ser>
          <c:idx val="4"/>
          <c:order val="4"/>
          <c:tx>
            <c:v>Series 5</c:v>
          </c:tx>
          <c:cat>
            <c:strRef>
              <c:f>'CH - 10Y Model'!$B$9</c:f>
              <c:strCache>
                <c:ptCount val="0"/>
              </c:strCache>
            </c:strRef>
          </c:cat>
          <c:val>
            <c:numRef>
              <c:f>'CH - 10Y Model'!$G$9</c:f>
              <c:numCache>
                <c:formatCode>#,##0;[Red](#,##0);-</c:formatCode>
                <c:ptCount val="0"/>
              </c:numCache>
            </c:numRef>
          </c:val>
          <c:smooth val="0"/>
        </c:ser>
        <c:ser>
          <c:idx val="5"/>
          <c:order val="5"/>
          <c:tx>
            <c:v>Series 6</c:v>
          </c:tx>
          <c:cat>
            <c:strRef>
              <c:f>'CH - 10Y Model'!$B$9</c:f>
              <c:strCache>
                <c:ptCount val="0"/>
              </c:strCache>
            </c:strRef>
          </c:cat>
          <c:val>
            <c:numRef>
              <c:f>'CH - 10Y Model'!$H$9</c:f>
              <c:numCache>
                <c:formatCode>#,##0;[Red](#,##0);-</c:formatCode>
                <c:ptCount val="0"/>
              </c:numCache>
            </c:numRef>
          </c:val>
          <c:smooth val="0"/>
        </c:ser>
        <c:ser>
          <c:idx val="6"/>
          <c:order val="6"/>
          <c:tx>
            <c:v>Series 7</c:v>
          </c:tx>
          <c:cat>
            <c:strRef>
              <c:f>'CH - 10Y Model'!$B$9</c:f>
              <c:strCache>
                <c:ptCount val="0"/>
              </c:strCache>
            </c:strRef>
          </c:cat>
          <c:val>
            <c:numRef>
              <c:f>'CH - 10Y Model'!$I$9</c:f>
              <c:numCache>
                <c:formatCode>#,##0;[Red](#,##0);-</c:formatCode>
                <c:ptCount val="0"/>
              </c:numCache>
            </c:numRef>
          </c:val>
          <c:smooth val="0"/>
        </c:ser>
        <c:ser>
          <c:idx val="7"/>
          <c:order val="7"/>
          <c:tx>
            <c:v>Series 8</c:v>
          </c:tx>
          <c:cat>
            <c:strRef>
              <c:f>'CH - 10Y Model'!$B$9</c:f>
              <c:strCache>
                <c:ptCount val="0"/>
              </c:strCache>
            </c:strRef>
          </c:cat>
          <c:val>
            <c:numRef>
              <c:f>'CH - 10Y Model'!$J$9</c:f>
              <c:numCache>
                <c:formatCode>#,##0;[Red](#,##0);-</c:formatCode>
                <c:ptCount val="0"/>
              </c:numCache>
            </c:numRef>
          </c:val>
          <c:smooth val="0"/>
        </c:ser>
        <c:ser>
          <c:idx val="8"/>
          <c:order val="8"/>
          <c:tx>
            <c:v>Series 9</c:v>
          </c:tx>
          <c:cat>
            <c:strRef>
              <c:f>'CH - 10Y Model'!$B$9</c:f>
              <c:strCache>
                <c:ptCount val="0"/>
              </c:strCache>
            </c:strRef>
          </c:cat>
          <c:val>
            <c:numRef>
              <c:f>'CH - 10Y Model'!$K$9</c:f>
              <c:numCache>
                <c:formatCode>#,##0;[Red](#,##0);-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18</xdr:row>
      <xdr:rowOff>0</xdr:rowOff>
    </xdr:from>
    <xdr:to>
      <xdr:col>6</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20b804ea2048ab"/>
        </a:graphicData>
      </a:graphic>
    </xdr:graphicFrame>
    <xdr:clientData/>
  </xdr:twoCellAnchor>
  <xdr:twoCellAnchor>
    <xdr:from>
      <xdr:col>6</xdr:col>
      <xdr:colOff>0</xdr:colOff>
      <xdr:row>18</xdr:row>
      <xdr:rowOff>0</xdr:rowOff>
    </xdr:from>
    <xdr:to>
      <xdr:col>10</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080204920f42a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383d79550c434b"/>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4597df0c60406e"/>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f864b3e8994081"/>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ae3b2465f64155"/>
        </a:graphicData>
      </a:graphic>
    </xdr:graphicFrame>
    <xdr:clientData/>
  </xdr:twoCellAnchor>
</xdr:wsDr>
</file>

<file path=xl/drawings/drawing4.xml><?xml version="1.0" encoding="utf-8"?>
<xdr:wsDr xmlns:xdr="http://schemas.openxmlformats.org/drawingml/2006/spreadsheetDrawing">
  <xdr:twoCellAnchor>
    <xdr:from>
      <xdr:col>0</xdr:col>
      <xdr:colOff>0</xdr:colOff>
      <xdr:row>23</xdr:row>
      <xdr:rowOff>0</xdr:rowOff>
    </xdr:from>
    <xdr:to>
      <xdr:col>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f41be97f424b4e"/>
        </a:graphicData>
      </a:graphic>
    </xdr:graphicFrame>
    <xdr:clientData/>
  </xdr:twoCellAnchor>
  <xdr:twoCellAnchor>
    <xdr:from>
      <xdr:col>6</xdr:col>
      <xdr:colOff>0</xdr:colOff>
      <xdr:row>23</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2ef6a07ef1447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58db1e7b3654713" /></Relationships>
</file>

<file path=xl/worksheets/_rels/sheet6.xml.rels>&#65279;<?xml version="1.0" encoding="utf-8"?><Relationships xmlns="http://schemas.openxmlformats.org/package/2006/relationships"><Relationship Type="http://schemas.openxmlformats.org/officeDocument/2006/relationships/drawing" Target="/xl/drawings/drawing2.xml" Id="R76e024aab92b4d10" /></Relationships>
</file>

<file path=xl/worksheets/_rels/sheet10.xml.rels>&#65279;<?xml version="1.0" encoding="utf-8"?><Relationships xmlns="http://schemas.openxmlformats.org/package/2006/relationships"><Relationship Type="http://schemas.openxmlformats.org/officeDocument/2006/relationships/drawing" Target="/xl/drawings/drawing3.xml" Id="R61ae2b4001b64dd4" /></Relationships>
</file>

<file path=xl/worksheets/_rels/sheet14.xml.rels>&#65279;<?xml version="1.0" encoding="utf-8"?><Relationships xmlns="http://schemas.openxmlformats.org/package/2006/relationships"><Relationship Type="http://schemas.openxmlformats.org/officeDocument/2006/relationships/drawing" Target="/xl/drawings/drawing4.xml" Id="R37624f4d4f0043ca" /></Relationships>
</file>

<file path=xl/worksheets/sheet1.xml><?xml version="1.0" encoding="utf-8"?>
<x:worksheet xmlns:x="http://schemas.openxmlformats.org/spreadsheetml/2006/main">
  <x:sheetFormatPr defaultRowHeight="15"/>
  <x:cols>
    <x:col min="1" max="1" width="24" hidden="0" customWidth="1"/>
    <x:col min="2" max="2" width="38" hidden="0" customWidth="1"/>
    <x:col min="3" max="3" width="17" hidden="0" customWidth="1"/>
    <x:col min="4" max="4" width="15" hidden="0" customWidth="1"/>
    <x:col min="5" max="5" width="17" hidden="0" customWidth="1"/>
    <x:col min="6" max="6" width="19" hidden="0" customWidth="1"/>
    <x:col min="7" max="7" width="18" hidden="0" customWidth="1"/>
    <x:col min="8" max="8" width="18" hidden="0" customWidth="1"/>
    <x:col min="9" max="9" width="14" hidden="0" customWidth="1"/>
    <x:col min="10" max="10" width="18" hidden="0" customWidth="1"/>
  </x:cols>
  <x:sheetData>
    <x:row r="1">
      <x:c r="A1" s="5" t="str">
        <x:v>دراسة الجدوى الاستثمارية المقارنة - الرابية</x:v>
      </x:c>
      <x:c r="B1" s="5"/>
      <x:c r="C1" s="5"/>
      <x:c r="D1" s="5"/>
      <x:c r="E1" s="5"/>
      <x:c r="F1" s="5"/>
      <x:c r="G1" s="5"/>
      <x:c r="H1" s="5"/>
      <x:c r="I1" s="5"/>
      <x:c r="J1" s="5"/>
    </x:row>
    <x:row r="2">
      <x:c r="A2" s="5"/>
      <x:c r="B2" s="5"/>
      <x:c r="C2" s="5"/>
      <x:c r="D2" s="5"/>
      <x:c r="E2" s="5"/>
      <x:c r="F2" s="5"/>
      <x:c r="G2" s="5"/>
      <x:c r="H2" s="5"/>
      <x:c r="I2" s="5"/>
      <x:c r="J2" s="5"/>
    </x:row>
    <x:row r="3">
      <x:c r="A3" s="12" t="str">
        <x:v>كوفي شوب | مدرسة ثانوية خاصة | كوفي هاوس - جميع القيم بالدينار الأردني JOD</x:v>
      </x:c>
      <x:c r="B3" s="12"/>
      <x:c r="C3" s="12"/>
      <x:c r="D3" s="12"/>
      <x:c r="E3" s="12"/>
      <x:c r="F3" s="12"/>
      <x:c r="G3" s="12"/>
      <x:c r="H3" s="12"/>
      <x:c r="I3" s="12"/>
      <x:c r="J3" s="12"/>
    </x:row>
    <x:row r="5">
      <x:c r="A5" s="19" t="str">
        <x:v>المشروع</x:v>
      </x:c>
      <x:c r="B5" s="19" t="str">
        <x:v>القرار</x:v>
      </x:c>
      <x:c r="C5" s="19" t="str">
        <x:v>CAPEX دون الأرض</x:v>
      </x:c>
      <x:c r="D5" s="19" t="str">
        <x:v>قيمة الأرض</x:v>
      </x:c>
      <x:c r="E5" s="19" t="str">
        <x:v>إيراد سنة 1</x:v>
      </x:c>
      <x:c r="F5" s="19" t="str">
        <x:v>كلفة العمالة سنة 1</x:v>
      </x:c>
      <x:c r="G5" s="19" t="str">
        <x:v>OPEX غير العمالة</x:v>
      </x:c>
      <x:c r="H5" s="19" t="str">
        <x:v>EBITDA سنة 1</x:v>
      </x:c>
      <x:c r="I5" s="19" t="str">
        <x:v>IRR دون الأرض</x:v>
      </x:c>
      <x:c r="J5" s="19" t="str">
        <x:v>NPV مع الأرض</x:v>
      </x:c>
    </x:row>
    <x:row r="6">
      <x:c r="A6" t="str">
        <x:v>كوفي شوب</x:v>
      </x:c>
      <x:c r="B6" t="str">
        <x:v>موصى به بشروط</x:v>
      </x:c>
      <x:c r="C6" s="87" t="n">
        <x:f>'CS - CAPEX'!B18</x:f>
        <x:v>399000</x:v>
      </x:c>
      <x:c r="D6" s="87" t="n">
        <x:f>'General Assumptions'!B4</x:f>
        <x:v>800000</x:v>
      </x:c>
      <x:c r="E6" s="87" t="n">
        <x:f>'CS - 10Y Model'!B4</x:f>
        <x:v>437675</x:v>
      </x:c>
      <x:c r="F6" s="87" t="n">
        <x:f>'CS - Payroll'!J15</x:f>
        <x:v>165196.2</x:v>
      </x:c>
      <x:c r="G6" s="87" t="n">
        <x:f>'CS - OPEX'!C15</x:f>
        <x:v>114800</x:v>
      </x:c>
      <x:c r="H6" s="87" t="n">
        <x:f>'CS - 10Y Model'!B9</x:f>
        <x:v>21999.54999999999</x:v>
      </x:c>
      <x:c r="I6" s="97" t="n">
        <x:f>'CS - 10Y Model'!B19</x:f>
        <x:v>0.24945762188458753</x:v>
      </x:c>
      <x:c r="J6" s="87" t="n">
        <x:f>'CS - 10Y Model'!C18</x:f>
        <x:v>-495807.02192401444</x:v>
      </x:c>
    </x:row>
    <x:row r="7">
      <x:c r="A7" t="str">
        <x:v>مدرسة ثانوية خاصة</x:v>
      </x:c>
      <x:c r="B7" t="str">
        <x:v>غير موصى بها على الدونم بصيغتها الحالية</x:v>
      </x:c>
      <x:c r="C7" s="87" t="n">
        <x:f>'School - CAPEX'!B19</x:f>
        <x:v>2880000</x:v>
      </x:c>
      <x:c r="D7" s="87" t="n">
        <x:f>'General Assumptions'!B4</x:f>
        <x:v>800000</x:v>
      </x:c>
      <x:c r="E7" s="87" t="n">
        <x:f>'School - 10Y Model'!B4</x:f>
        <x:v>819350</x:v>
      </x:c>
      <x:c r="F7" s="87" t="n">
        <x:f>'School - Payroll'!J22</x:f>
        <x:v>578940</x:v>
      </x:c>
      <x:c r="G7" s="87" t="n">
        <x:f>'School - OPEX'!C16</x:f>
        <x:v>458000</x:v>
      </x:c>
      <x:c r="H7" s="87" t="n">
        <x:f>'School - 10Y Model'!B9</x:f>
        <x:v>-283138</x:v>
      </x:c>
      <x:c r="I7" s="97" t="n">
        <x:f>'School - 10Y Model'!B19</x:f>
        <x:v>-0.044868062574702244</x:v>
      </x:c>
      <x:c r="J7" s="87" t="n">
        <x:f>'School - 10Y Model'!C18</x:f>
        <x:v>-2518802.6192701575</x:v>
      </x:c>
    </x:row>
    <x:row r="8">
      <x:c r="A8" t="str">
        <x:v>كوفي هاوس</x:v>
      </x:c>
      <x:c r="B8" t="str">
        <x:v>يحتاج إعادة تصميم</x:v>
      </x:c>
      <x:c r="C8" s="87" t="n">
        <x:f>'CH - CAPEX'!B18</x:f>
        <x:v>735000</x:v>
      </x:c>
      <x:c r="D8" s="87" t="n">
        <x:f>'General Assumptions'!B4</x:f>
        <x:v>800000</x:v>
      </x:c>
      <x:c r="E8" s="87" t="n">
        <x:f>'CH - 10Y Model'!B4</x:f>
        <x:v>711850</x:v>
      </x:c>
      <x:c r="F8" s="87" t="n">
        <x:f>'CH - Payroll'!J20</x:f>
        <x:v>337817.25</x:v>
      </x:c>
      <x:c r="G8" s="87" t="n">
        <x:f>'CH - OPEX'!C16</x:f>
        <x:v>201000</x:v>
      </x:c>
      <x:c r="H8" s="87" t="n">
        <x:f>'CH - 10Y Model'!B9</x:f>
        <x:v>-76114.75</x:v>
      </x:c>
      <x:c r="I8" s="97" t="n">
        <x:f>'CH - 10Y Model'!B19</x:f>
        <x:v>-0.06124817179423715</x:v>
      </x:c>
      <x:c r="J8" s="87" t="n">
        <x:f>'CH - 10Y Model'!C18</x:f>
        <x:v>-1245995.251316934</x:v>
      </x:c>
    </x:row>
    <x:row r="11">
      <x:c r="A11" s="29" t="str">
        <x:v>قرار المستثمر</x:v>
      </x:c>
      <x:c r="B11" s="29"/>
      <x:c r="C11" s="29"/>
      <x:c r="D11" s="29"/>
      <x:c r="E11" s="29"/>
      <x:c r="F11" s="29"/>
      <x:c r="G11" s="29"/>
      <x:c r="H11" s="29"/>
      <x:c r="I11" s="29"/>
      <x:c r="J11" s="29"/>
    </x:row>
    <x:row r="12">
      <x:c r="A12" s="35" t="str">
        <x:v>الكوفي شوب هو البديل التشغيلي الموصى به بشروط، بسقف استثمار مستهدف لا يتجاوز 400 ألف JOD دون الأرض. المدرسة الثانوية الكاملة تُستبعد على الدونم بصيغتها الحالية مهما بدت المؤشرات المالية جذابة، لأن قابلية الترخيص والسعة والمواقف غير مثبتة. الكوفي هاوس يحتاج تقليص المساحة والاستثمار إلى نموذج 500-600 م² أو دمجه ضمن مبنى تجاري متعدد الاستخدامات.</x:v>
      </x:c>
      <x:c r="B12" s="35"/>
      <x:c r="C12" s="35"/>
      <x:c r="D12" s="35"/>
      <x:c r="E12" s="35"/>
      <x:c r="F12" s="35"/>
      <x:c r="G12" s="35"/>
      <x:c r="H12" s="35"/>
      <x:c r="I12" s="35"/>
      <x:c r="J12" s="35"/>
    </x:row>
    <x:row r="13">
      <x:c r="A13" s="35"/>
      <x:c r="B13" s="35"/>
      <x:c r="C13" s="35"/>
      <x:c r="D13" s="35"/>
      <x:c r="E13" s="35"/>
      <x:c r="F13" s="35"/>
      <x:c r="G13" s="35"/>
      <x:c r="H13" s="35"/>
      <x:c r="I13" s="35"/>
      <x:c r="J13" s="35"/>
    </x:row>
    <x:row r="14">
      <x:c r="A14" s="35"/>
      <x:c r="B14" s="35"/>
      <x:c r="C14" s="35"/>
      <x:c r="D14" s="35"/>
      <x:c r="E14" s="35"/>
      <x:c r="F14" s="35"/>
      <x:c r="G14" s="35"/>
      <x:c r="H14" s="35"/>
      <x:c r="I14" s="35"/>
      <x:c r="J14" s="35"/>
    </x:row>
    <x:row r="15">
      <x:c r="A15" s="35"/>
      <x:c r="B15" s="35"/>
      <x:c r="C15" s="35"/>
      <x:c r="D15" s="35"/>
      <x:c r="E15" s="35"/>
      <x:c r="F15" s="35"/>
      <x:c r="G15" s="35"/>
      <x:c r="H15" s="35"/>
      <x:c r="I15" s="35"/>
      <x:c r="J15" s="35"/>
    </x:row>
    <x:row r="16">
      <x:c r="A16" s="35"/>
      <x:c r="B16" s="35"/>
      <x:c r="C16" s="35"/>
      <x:c r="D16" s="35"/>
      <x:c r="E16" s="35"/>
      <x:c r="F16" s="35"/>
      <x:c r="G16" s="35"/>
      <x:c r="H16" s="35"/>
      <x:c r="I16" s="35"/>
      <x:c r="J16" s="35"/>
    </x:row>
    <x:row r="37">
      <x:c r="A37" s="81" t="str">
        <x:v>طريقة استخدام النموذج</x:v>
      </x:c>
      <x:c r="B37" s="81"/>
      <x:c r="C37" s="81"/>
      <x:c r="D37" s="81"/>
      <x:c r="E37" s="81"/>
      <x:c r="F37" s="81"/>
      <x:c r="G37" s="81"/>
      <x:c r="H37" s="81"/>
      <x:c r="I37" s="81"/>
      <x:c r="J37" s="81"/>
    </x:row>
    <x:row r="38" ht="22" customHeight="1">
      <x:c r="A38" s="103" t="str">
        <x:v>غيّر فقط الخلايا ذات الخلفية الصفراء والخط الأزرق في صفحات الرواتب، CAPEX، OPEX، General Assumptions وDynamic Inputs. جميع الخلايا الأخرى معادلات مترابطة، بما فيها الإيرادات، الرواتب الكاملة، EBITDA، NPV، IRR، DSCR، الرسوم البيانية ولوحة المستثمر.</x:v>
      </x:c>
      <x:c r="B38" s="103"/>
      <x:c r="C38" s="103"/>
      <x:c r="D38" s="103"/>
      <x:c r="E38" s="103"/>
      <x:c r="F38" s="103"/>
      <x:c r="G38" s="103"/>
      <x:c r="H38" s="103"/>
      <x:c r="I38" s="103"/>
      <x:c r="J38" s="103"/>
    </x:row>
    <x:row r="39" ht="22" customHeight="1">
      <x:c r="A39" s="103"/>
      <x:c r="B39" s="103"/>
      <x:c r="C39" s="103"/>
      <x:c r="D39" s="103"/>
      <x:c r="E39" s="103"/>
      <x:c r="F39" s="103"/>
      <x:c r="G39" s="103"/>
      <x:c r="H39" s="103"/>
      <x:c r="I39" s="103"/>
      <x:c r="J39" s="103"/>
    </x:row>
    <x:row r="40" ht="22" customHeight="1">
      <x:c r="A40" s="103"/>
      <x:c r="B40" s="103"/>
      <x:c r="C40" s="103"/>
      <x:c r="D40" s="103"/>
      <x:c r="E40" s="103"/>
      <x:c r="F40" s="103"/>
      <x:c r="G40" s="103"/>
      <x:c r="H40" s="103"/>
      <x:c r="I40" s="103"/>
      <x:c r="J40" s="103"/>
    </x:row>
    <x:row r="41" ht="22" customHeight="1">
      <x:c r="A41" s="103"/>
      <x:c r="B41" s="103"/>
      <x:c r="C41" s="103"/>
      <x:c r="D41" s="103"/>
      <x:c r="E41" s="103"/>
      <x:c r="F41" s="103"/>
      <x:c r="G41" s="103"/>
      <x:c r="H41" s="103"/>
      <x:c r="I41" s="103"/>
      <x:c r="J41" s="103"/>
    </x:row>
  </x:sheetData>
  <x:mergeCells>
    <x:mergeCell ref="A1:J2"/>
    <x:mergeCell ref="A3:J3"/>
    <x:mergeCell ref="A11:J11"/>
    <x:mergeCell ref="A12:J16"/>
    <x:mergeCell ref="A37:J37"/>
    <x:mergeCell ref="A38:J41"/>
  </x:mergeCells>
  <x:conditionalFormatting sqref="A6:J8">
    <x:cfRule type="expression" dxfId="0" priority="1">
      <x:formula>$J6&lt;0</x:formula>
    </x:cfRule>
  </x:conditionalFormatting>
  <x:pageMargins left="0.7" right="0.7" top="0.75" bottom="0.75" header="0.3" footer="0.3"/>
  <x:drawing xmlns:r="http://schemas.openxmlformats.org/officeDocument/2006/relationships" r:id="R458db1e7b3654713"/>
</x:worksheet>
</file>

<file path=xl/worksheets/sheet2.xml><?xml version="1.0" encoding="utf-8"?>
<x:worksheet xmlns:x="http://schemas.openxmlformats.org/spreadsheetml/2006/main">
  <x:sheetFormatPr defaultRowHeight="15"/>
  <x:cols>
    <x:col min="1" max="1" width="30" hidden="0" customWidth="1"/>
    <x:col min="2" max="2" width="16" hidden="0" customWidth="1"/>
    <x:col min="3" max="3" width="12" hidden="0" customWidth="1"/>
    <x:col min="4" max="4" width="24" hidden="0" customWidth="1"/>
    <x:col min="5" max="5" width="34" hidden="0" customWidth="1"/>
    <x:col min="6" max="6" width="28" hidden="0" customWidth="1"/>
  </x:cols>
  <x:sheetData>
    <x:row r="1">
      <x:c r="A1" s="29" t="str">
        <x:v>الافتراضات العامة القابلة للتعديل</x:v>
      </x:c>
      <x:c r="B1" s="29"/>
      <x:c r="C1" s="29"/>
      <x:c r="D1" s="29"/>
      <x:c r="E1" s="29"/>
      <x:c r="F1" s="29"/>
    </x:row>
    <x:row r="3">
      <x:c r="A3" s="19" t="str">
        <x:v>الافتراض</x:v>
      </x:c>
      <x:c r="B3" s="19" t="str">
        <x:v>القيمة</x:v>
      </x:c>
      <x:c r="C3" s="19" t="str">
        <x:v>الوحدة</x:v>
      </x:c>
      <x:c r="D3" s="19" t="str">
        <x:v>التصنيف</x:v>
      </x:c>
      <x:c r="E3" s="19" t="str">
        <x:v>ملاحظة</x:v>
      </x:c>
      <x:c r="F3" s="19" t="str">
        <x:v>حالة التحقق</x:v>
      </x:c>
    </x:row>
    <x:row r="4">
      <x:c r="A4" s="46" t="str">
        <x:v>قيمة الأرض الاقتصادية</x:v>
      </x:c>
      <x:c r="B4" s="47" t="n">
        <x:v>800000</x:v>
      </x:c>
      <x:c r="C4" s="46" t="str">
        <x:v>JOD</x:v>
      </x:c>
      <x:c r="D4" s="46" t="str">
        <x:v>افتراض يحتاج تقييمًا</x:v>
      </x:c>
      <x:c r="E4" s="46" t="str">
        <x:v>لا تمثل تكلفة شراء جديدة</x:v>
      </x:c>
      <x:c r="F4" s="46" t="str">
        <x:v>مطلوب تقييمان مستقلان</x:v>
      </x:c>
    </x:row>
    <x:row r="5">
      <x:c r="A5" s="46" t="str">
        <x:v>معدل الخصم</x:v>
      </x:c>
      <x:c r="B5" s="48" t="n">
        <x:v>0.115</x:v>
      </x:c>
      <x:c r="C5" s="46" t="str">
        <x:v>%</x:v>
      </x:c>
      <x:c r="D5" s="46" t="str">
        <x:v>افتراض تحليلي</x:v>
      </x:c>
      <x:c r="E5" s="46" t="str">
        <x:v>يستخدم في NPV</x:v>
      </x:c>
      <x:c r="F5" s="46" t="str">
        <x:v>يحدث بعد عروض التمويل</x:v>
      </x:c>
    </x:row>
    <x:row r="6">
      <x:c r="A6" s="46" t="str">
        <x:v>فائدة التمويل</x:v>
      </x:c>
      <x:c r="B6" s="48" t="n">
        <x:v>0.09</x:v>
      </x:c>
      <x:c r="C6" s="46" t="str">
        <x:v>%</x:v>
      </x:c>
      <x:c r="D6" s="46" t="str">
        <x:v>افتراض تمويلي</x:v>
      </x:c>
      <x:c r="E6" s="46" t="str">
        <x:v>قرض تناقصي</x:v>
      </x:c>
      <x:c r="F6" s="46" t="str">
        <x:v>مطلوب عرضان بنكيان</x:v>
      </x:c>
    </x:row>
    <x:row r="7">
      <x:c r="A7" s="46" t="str">
        <x:v>ضريبة الدخل</x:v>
      </x:c>
      <x:c r="B7" s="48" t="n">
        <x:v>0.2</x:v>
      </x:c>
      <x:c r="C7" s="46" t="str">
        <x:v>%</x:v>
      </x:c>
      <x:c r="D7" s="46" t="str">
        <x:v>افتراض ضريبي</x:v>
      </x:c>
      <x:c r="E7" s="46" t="str">
        <x:v>تتغير حسب الشكل والنشاط</x:v>
      </x:c>
      <x:c r="F7" s="46" t="str">
        <x:v>مطلوب رأي ضريبي</x:v>
      </x:c>
    </x:row>
    <x:row r="8">
      <x:c r="A8" s="46" t="str">
        <x:v>حصة صاحب العمل بالضمان</x:v>
      </x:c>
      <x:c r="B8" s="48" t="n">
        <x:v>0.1425</x:v>
      </x:c>
      <x:c r="C8" s="46" t="str">
        <x:v>%</x:v>
      </x:c>
      <x:c r="D8" s="46" t="str">
        <x:v>حقيقة تنظيمية عامة</x:v>
      </x:c>
      <x:c r="E8" s="46" t="str">
        <x:v>تطبق على الراتب الخاضع</x:v>
      </x:c>
      <x:c r="F8" s="46" t="str">
        <x:v>يُثبت عند التسجيل</x:v>
      </x:c>
    </x:row>
    <x:row r="9">
      <x:c r="A9" s="46" t="str">
        <x:v>نمو الرواتب</x:v>
      </x:c>
      <x:c r="B9" s="48" t="n">
        <x:v>0.04</x:v>
      </x:c>
      <x:c r="C9" s="46" t="str">
        <x:v>%</x:v>
      </x:c>
      <x:c r="D9" s="46" t="str">
        <x:v>افتراض</x:v>
      </x:c>
      <x:c r="E9" s="46" t="str">
        <x:v>سنوي</x:v>
      </x:c>
      <x:c r="F9" s="46" t="str">
        <x:v>اختبار حساسية</x:v>
      </x:c>
    </x:row>
    <x:row r="10">
      <x:c r="A10" s="46" t="str">
        <x:v>تضخم التشغيل</x:v>
      </x:c>
      <x:c r="B10" s="48" t="n">
        <x:v>0.03</x:v>
      </x:c>
      <x:c r="C10" s="46" t="str">
        <x:v>%</x:v>
      </x:c>
      <x:c r="D10" s="46" t="str">
        <x:v>افتراض</x:v>
      </x:c>
      <x:c r="E10" s="46" t="str">
        <x:v>سنوي</x:v>
      </x:c>
      <x:c r="F10" s="46" t="str">
        <x:v>اختبار حساسية</x:v>
      </x:c>
    </x:row>
    <x:row r="12">
      <x:c r="A12" s="69" t="str">
        <x:v>افتراضات إضافية</x:v>
      </x:c>
      <x:c r="B12" s="69" t="str">
        <x:v>القيمة</x:v>
      </x:c>
      <x:c r="C12" s="69" t="str">
        <x:v>الوحدة</x:v>
      </x:c>
      <x:c r="D12" s="69" t="str">
        <x:v>التصنيف</x:v>
      </x:c>
      <x:c r="E12" s="69" t="str">
        <x:v>ملاحظة</x:v>
      </x:c>
      <x:c r="F12" s="69" t="str">
        <x:v>حالة</x:v>
      </x:c>
    </x:row>
    <x:row r="13">
      <x:c r="A13" s="46" t="str">
        <x:v>التأمين والمزايا من الراتب</x:v>
      </x:c>
      <x:c r="B13" s="73" t="n">
        <x:v>0.045</x:v>
      </x:c>
      <x:c r="C13" s="46" t="str">
        <x:v>%</x:v>
      </x:c>
      <x:c r="D13" s="46" t="str">
        <x:v>افتراض تشغيلي</x:v>
      </x:c>
      <x:c r="E13" s="46" t="str">
        <x:v>يطبق على الرواتب</x:v>
      </x:c>
      <x:c r="F13" s="46" t="str">
        <x:v>قابل للتعديل</x:v>
      </x:c>
    </x:row>
    <x:row r="14">
      <x:c r="A14" s="46" t="str">
        <x:v>إضافي/استبدال - تشغيل</x:v>
      </x:c>
      <x:c r="B14" s="73" t="n">
        <x:v>0.035</x:v>
      </x:c>
      <x:c r="C14" s="46" t="str">
        <x:v>%</x:v>
      </x:c>
      <x:c r="D14" s="46" t="str">
        <x:v>افتراض تشغيلي</x:v>
      </x:c>
      <x:c r="E14" s="46" t="str">
        <x:v>وظائف التشغيل والخدمة</x:v>
      </x:c>
      <x:c r="F14" s="46" t="str">
        <x:v>قابل للتعديل</x:v>
      </x:c>
    </x:row>
    <x:row r="15">
      <x:c r="A15" s="46" t="str">
        <x:v>إضافي/استبدال - إداري</x:v>
      </x:c>
      <x:c r="B15" s="73" t="n">
        <x:v>0.015</x:v>
      </x:c>
      <x:c r="C15" s="46" t="str">
        <x:v>%</x:v>
      </x:c>
      <x:c r="D15" s="46" t="str">
        <x:v>افتراض تشغيلي</x:v>
      </x:c>
      <x:c r="E15" s="46" t="str">
        <x:v>وظائف الإدارة والدعم</x:v>
      </x:c>
      <x:c r="F15" s="46" t="str">
        <x:v>قابل للتعديل</x:v>
      </x:c>
    </x:row>
    <x:row r="16">
      <x:c r="A16" s="46" t="str">
        <x:v>نسبة رأس المال العامل - مقاهي</x:v>
      </x:c>
      <x:c r="B16" s="73" t="n">
        <x:v>0.06</x:v>
      </x:c>
      <x:c r="C16" s="46" t="str">
        <x:v>%</x:v>
      </x:c>
      <x:c r="D16" s="46" t="str">
        <x:v>افتراض مالي</x:v>
      </x:c>
      <x:c r="E16" s="46" t="str">
        <x:v>من الإيرادات</x:v>
      </x:c>
      <x:c r="F16" s="46" t="str">
        <x:v>قابل للتعديل</x:v>
      </x:c>
    </x:row>
    <x:row r="17">
      <x:c r="A17" s="46" t="str">
        <x:v>نسبة رأس المال العامل - مدرسة</x:v>
      </x:c>
      <x:c r="B17" s="73" t="n">
        <x:v>0.09</x:v>
      </x:c>
      <x:c r="C17" s="46" t="str">
        <x:v>%</x:v>
      </x:c>
      <x:c r="D17" s="46" t="str">
        <x:v>افتراض مالي</x:v>
      </x:c>
      <x:c r="E17" s="46" t="str">
        <x:v>من الإيرادات</x:v>
      </x:c>
      <x:c r="F17" s="46" t="str">
        <x:v>قابل للتعديل</x:v>
      </x:c>
    </x:row>
    <x:row r="18">
      <x:c r="A18" s="46" t="str">
        <x:v>صيانة رأسمالية سنوية</x:v>
      </x:c>
      <x:c r="B18" s="73" t="n">
        <x:v>0.015</x:v>
      </x:c>
      <x:c r="C18" s="46" t="str">
        <x:v>%</x:v>
      </x:c>
      <x:c r="D18" s="46" t="str">
        <x:v>افتراض مالي</x:v>
      </x:c>
      <x:c r="E18" s="46" t="str">
        <x:v>من CAPEX دون الأرض</x:v>
      </x:c>
      <x:c r="F18" s="46" t="str">
        <x:v>قابل للتعديل</x:v>
      </x:c>
    </x:row>
    <x:row r="19">
      <x:c r="A19" s="46" t="str">
        <x:v>معدل الاستهلاك السنوي</x:v>
      </x:c>
      <x:c r="B19" s="73" t="n">
        <x:v>0.075</x:v>
      </x:c>
      <x:c r="C19" s="46" t="str">
        <x:v>%</x:v>
      </x:c>
      <x:c r="D19" s="46" t="str">
        <x:v>افتراض محاسبي</x:v>
      </x:c>
      <x:c r="E19" s="46" t="str">
        <x:v>من CAPEX دون الأرض</x:v>
      </x:c>
      <x:c r="F19" s="46" t="str">
        <x:v>قابل للتعديل</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كوفي شوب</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الإدارة</x:v>
      </x:c>
      <x:c r="B4" t="str">
        <x:v>مدير فرع</x:v>
      </x:c>
      <x:c r="C4" s="71" t="n">
        <x:v>1</x:v>
      </x:c>
      <x:c r="D4" s="82" t="n">
        <x:v>1400</x:v>
      </x:c>
      <x:c r="E4" s="84" t="n">
        <x:f>C4*D4</x:f>
        <x:v>1400</x:v>
      </x:c>
      <x:c r="F4" s="84" t="n">
        <x:f>E4*12</x:f>
        <x:v>16800</x:v>
      </x:c>
      <x:c r="G4" s="84" t="n">
        <x:f>F4*'General Assumptions'!$B$8</x:f>
        <x:v>2394</x:v>
      </x:c>
      <x:c r="H4" s="84" t="n">
        <x:f>F4*'General Assumptions'!$B$13</x:f>
        <x:v>756</x:v>
      </x:c>
      <x:c r="I4" s="84" t="n">
        <x:f>F4*IF(OR(A4="التشغيل",A4="المطبخ",A4="الخدمة",A4="خدمات",A4="نقل"),'General Assumptions'!$B$14,'General Assumptions'!$B$15)</x:f>
        <x:v>252</x:v>
      </x:c>
      <x:c r="J4" s="84" t="n">
        <x:f>SUM(F4:I4)</x:f>
        <x:v>20202</x:v>
      </x:c>
    </x:row>
    <x:row r="5">
      <x:c r="A5" t="str">
        <x:v>الإدارة</x:v>
      </x:c>
      <x:c r="B5" t="str">
        <x:v>مشرف وردية</x:v>
      </x:c>
      <x:c r="C5" s="71" t="n">
        <x:v>2</x:v>
      </x:c>
      <x:c r="D5" s="82" t="n">
        <x:v>750</x:v>
      </x:c>
      <x:c r="E5" s="84" t="n">
        <x:f>C5*D5</x:f>
        <x:v>1500</x:v>
      </x:c>
      <x:c r="F5" s="84" t="n">
        <x:f>E5*12</x:f>
        <x:v>18000</x:v>
      </x:c>
      <x:c r="G5" s="84" t="n">
        <x:f>F5*'General Assumptions'!$B$8</x:f>
        <x:v>2565</x:v>
      </x:c>
      <x:c r="H5" s="84" t="n">
        <x:f>F5*'General Assumptions'!$B$13</x:f>
        <x:v>810</x:v>
      </x:c>
      <x:c r="I5" s="84" t="n">
        <x:f>F5*IF(OR(A5="التشغيل",A5="المطبخ",A5="الخدمة",A5="خدمات",A5="نقل"),'General Assumptions'!$B$14,'General Assumptions'!$B$15)</x:f>
        <x:v>270</x:v>
      </x:c>
      <x:c r="J5" s="84" t="n">
        <x:f>SUM(F5:I5)</x:f>
        <x:v>21645</x:v>
      </x:c>
    </x:row>
    <x:row r="6">
      <x:c r="A6" t="str">
        <x:v>التشغيل</x:v>
      </x:c>
      <x:c r="B6" t="str">
        <x:v>رئيس باريستا</x:v>
      </x:c>
      <x:c r="C6" s="71" t="n">
        <x:v>1</x:v>
      </x:c>
      <x:c r="D6" s="82" t="n">
        <x:v>600</x:v>
      </x:c>
      <x:c r="E6" s="84" t="n">
        <x:f>C6*D6</x:f>
        <x:v>600</x:v>
      </x:c>
      <x:c r="F6" s="84" t="n">
        <x:f>E6*12</x:f>
        <x:v>7200</x:v>
      </x:c>
      <x:c r="G6" s="84" t="n">
        <x:f>F6*'General Assumptions'!$B$8</x:f>
        <x:v>1026</x:v>
      </x:c>
      <x:c r="H6" s="84" t="n">
        <x:f>F6*'General Assumptions'!$B$13</x:f>
        <x:v>324</x:v>
      </x:c>
      <x:c r="I6" s="84" t="n">
        <x:f>F6*IF(OR(A6="التشغيل",A6="المطبخ",A6="الخدمة",A6="خدمات",A6="نقل"),'General Assumptions'!$B$14,'General Assumptions'!$B$15)</x:f>
        <x:v>252.00000000000003</x:v>
      </x:c>
      <x:c r="J6" s="84" t="n">
        <x:f>SUM(F6:I6)</x:f>
        <x:v>8802</x:v>
      </x:c>
    </x:row>
    <x:row r="7">
      <x:c r="A7" t="str">
        <x:v>التشغيل</x:v>
      </x:c>
      <x:c r="B7" t="str">
        <x:v>باريستا</x:v>
      </x:c>
      <x:c r="C7" s="71" t="n">
        <x:v>6</x:v>
      </x:c>
      <x:c r="D7" s="82" t="n">
        <x:v>400</x:v>
      </x:c>
      <x:c r="E7" s="84" t="n">
        <x:f>C7*D7</x:f>
        <x:v>2400</x:v>
      </x:c>
      <x:c r="F7" s="84" t="n">
        <x:f>E7*12</x:f>
        <x:v>28800</x:v>
      </x:c>
      <x:c r="G7" s="84" t="n">
        <x:f>F7*'General Assumptions'!$B$8</x:f>
        <x:v>4104</x:v>
      </x:c>
      <x:c r="H7" s="84" t="n">
        <x:f>F7*'General Assumptions'!$B$13</x:f>
        <x:v>1296</x:v>
      </x:c>
      <x:c r="I7" s="84" t="n">
        <x:f>F7*IF(OR(A7="التشغيل",A7="المطبخ",A7="الخدمة",A7="خدمات",A7="نقل"),'General Assumptions'!$B$14,'General Assumptions'!$B$15)</x:f>
        <x:v>1008.0000000000001</x:v>
      </x:c>
      <x:c r="J7" s="84" t="n">
        <x:f>SUM(F7:I7)</x:f>
        <x:v>35208</x:v>
      </x:c>
    </x:row>
    <x:row r="8">
      <x:c r="A8" t="str">
        <x:v>التشغيل</x:v>
      </x:c>
      <x:c r="B8" t="str">
        <x:v>كاشير</x:v>
      </x:c>
      <x:c r="C8" s="71" t="n">
        <x:v>2</x:v>
      </x:c>
      <x:c r="D8" s="82" t="n">
        <x:v>375</x:v>
      </x:c>
      <x:c r="E8" s="84" t="n">
        <x:f>C8*D8</x:f>
        <x:v>750</x:v>
      </x:c>
      <x:c r="F8" s="84" t="n">
        <x:f>E8*12</x:f>
        <x:v>9000</x:v>
      </x:c>
      <x:c r="G8" s="84" t="n">
        <x:f>F8*'General Assumptions'!$B$8</x:f>
        <x:v>1282.5</x:v>
      </x:c>
      <x:c r="H8" s="84" t="n">
        <x:f>F8*'General Assumptions'!$B$13</x:f>
        <x:v>405</x:v>
      </x:c>
      <x:c r="I8" s="84" t="n">
        <x:f>F8*IF(OR(A8="التشغيل",A8="المطبخ",A8="الخدمة",A8="خدمات",A8="نقل"),'General Assumptions'!$B$14,'General Assumptions'!$B$15)</x:f>
        <x:v>315.00000000000006</x:v>
      </x:c>
      <x:c r="J8" s="84" t="n">
        <x:f>SUM(F8:I8)</x:f>
        <x:v>11002.5</x:v>
      </x:c>
    </x:row>
    <x:row r="9">
      <x:c r="A9" t="str">
        <x:v>المطبخ</x:v>
      </x:c>
      <x:c r="B9" t="str">
        <x:v>عامل مطبخ وتحضير</x:v>
      </x:c>
      <x:c r="C9" s="71" t="n">
        <x:v>3</x:v>
      </x:c>
      <x:c r="D9" s="82" t="n">
        <x:v>450</x:v>
      </x:c>
      <x:c r="E9" s="84" t="n">
        <x:f>C9*D9</x:f>
        <x:v>1350</x:v>
      </x:c>
      <x:c r="F9" s="84" t="n">
        <x:f>E9*12</x:f>
        <x:v>16200</x:v>
      </x:c>
      <x:c r="G9" s="84" t="n">
        <x:f>F9*'General Assumptions'!$B$8</x:f>
        <x:v>2308.5</x:v>
      </x:c>
      <x:c r="H9" s="84" t="n">
        <x:f>F9*'General Assumptions'!$B$13</x:f>
        <x:v>729</x:v>
      </x:c>
      <x:c r="I9" s="84" t="n">
        <x:f>F9*IF(OR(A9="التشغيل",A9="المطبخ",A9="الخدمة",A9="خدمات",A9="نقل"),'General Assumptions'!$B$14,'General Assumptions'!$B$15)</x:f>
        <x:v>567</x:v>
      </x:c>
      <x:c r="J9" s="84" t="n">
        <x:f>SUM(F9:I9)</x:f>
        <x:v>19804.5</x:v>
      </x:c>
    </x:row>
    <x:row r="10">
      <x:c r="A10" t="str">
        <x:v>الخدمة</x:v>
      </x:c>
      <x:c r="B10" t="str">
        <x:v>مقدم خدمة</x:v>
      </x:c>
      <x:c r="C10" s="71" t="n">
        <x:v>4</x:v>
      </x:c>
      <x:c r="D10" s="82" t="n">
        <x:v>350</x:v>
      </x:c>
      <x:c r="E10" s="84" t="n">
        <x:f>C10*D10</x:f>
        <x:v>1400</x:v>
      </x:c>
      <x:c r="F10" s="84" t="n">
        <x:f>E10*12</x:f>
        <x:v>16800</x:v>
      </x:c>
      <x:c r="G10" s="84" t="n">
        <x:f>F10*'General Assumptions'!$B$8</x:f>
        <x:v>2394</x:v>
      </x:c>
      <x:c r="H10" s="84" t="n">
        <x:f>F10*'General Assumptions'!$B$13</x:f>
        <x:v>756</x:v>
      </x:c>
      <x:c r="I10" s="84" t="n">
        <x:f>F10*IF(OR(A10="التشغيل",A10="المطبخ",A10="الخدمة",A10="خدمات",A10="نقل"),'General Assumptions'!$B$14,'General Assumptions'!$B$15)</x:f>
        <x:v>588</x:v>
      </x:c>
      <x:c r="J10" s="84" t="n">
        <x:f>SUM(F10:I10)</x:f>
        <x:v>20538</x:v>
      </x:c>
    </x:row>
    <x:row r="11">
      <x:c r="A11" t="str">
        <x:v>الدعم</x:v>
      </x:c>
      <x:c r="B11" t="str">
        <x:v>مسؤول مخزون ومشتريات</x:v>
      </x:c>
      <x:c r="C11" s="71" t="n">
        <x:v>1</x:v>
      </x:c>
      <x:c r="D11" s="82" t="n">
        <x:v>500</x:v>
      </x:c>
      <x:c r="E11" s="84" t="n">
        <x:f>C11*D11</x:f>
        <x:v>500</x:v>
      </x:c>
      <x:c r="F11" s="84" t="n">
        <x:f>E11*12</x:f>
        <x:v>6000</x:v>
      </x:c>
      <x:c r="G11" s="84" t="n">
        <x:f>F11*'General Assumptions'!$B$8</x:f>
        <x:v>854.9999999999999</x:v>
      </x:c>
      <x:c r="H11" s="84" t="n">
        <x:f>F11*'General Assumptions'!$B$13</x:f>
        <x:v>270</x:v>
      </x:c>
      <x:c r="I11" s="84" t="n">
        <x:f>F11*IF(OR(A11="التشغيل",A11="المطبخ",A11="الخدمة",A11="خدمات",A11="نقل"),'General Assumptions'!$B$14,'General Assumptions'!$B$15)</x:f>
        <x:v>90</x:v>
      </x:c>
      <x:c r="J11" s="84" t="n">
        <x:f>SUM(F11:I11)</x:f>
        <x:v>7215</x:v>
      </x:c>
    </x:row>
    <x:row r="12">
      <x:c r="A12" t="str">
        <x:v>الدعم</x:v>
      </x:c>
      <x:c r="B12" t="str">
        <x:v>عامل نظافة</x:v>
      </x:c>
      <x:c r="C12" s="71" t="n">
        <x:v>2</x:v>
      </x:c>
      <x:c r="D12" s="82" t="n">
        <x:v>320</x:v>
      </x:c>
      <x:c r="E12" s="84" t="n">
        <x:f>C12*D12</x:f>
        <x:v>640</x:v>
      </x:c>
      <x:c r="F12" s="84" t="n">
        <x:f>E12*12</x:f>
        <x:v>7680</x:v>
      </x:c>
      <x:c r="G12" s="84" t="n">
        <x:f>F12*'General Assumptions'!$B$8</x:f>
        <x:v>1094.3999999999999</x:v>
      </x:c>
      <x:c r="H12" s="84" t="n">
        <x:f>F12*'General Assumptions'!$B$13</x:f>
        <x:v>345.59999999999997</x:v>
      </x:c>
      <x:c r="I12" s="84" t="n">
        <x:f>F12*IF(OR(A12="التشغيل",A12="المطبخ",A12="الخدمة",A12="خدمات",A12="نقل"),'General Assumptions'!$B$14,'General Assumptions'!$B$15)</x:f>
        <x:v>115.19999999999999</x:v>
      </x:c>
      <x:c r="J12" s="84" t="n">
        <x:f>SUM(F12:I12)</x:f>
        <x:v>9235.2</x:v>
      </x:c>
    </x:row>
    <x:row r="13">
      <x:c r="A13" t="str">
        <x:v>الدعم</x:v>
      </x:c>
      <x:c r="B13" t="str">
        <x:v>محاسب جزئي</x:v>
      </x:c>
      <x:c r="C13" s="71" t="n">
        <x:v>1</x:v>
      </x:c>
      <x:c r="D13" s="82" t="n">
        <x:v>350</x:v>
      </x:c>
      <x:c r="E13" s="84" t="n">
        <x:f>C13*D13</x:f>
        <x:v>350</x:v>
      </x:c>
      <x:c r="F13" s="84" t="n">
        <x:f>E13*12</x:f>
        <x:v>4200</x:v>
      </x:c>
      <x:c r="G13" s="84" t="n">
        <x:f>F13*'General Assumptions'!$B$8</x:f>
        <x:v>598.5</x:v>
      </x:c>
      <x:c r="H13" s="84" t="n">
        <x:f>F13*'General Assumptions'!$B$13</x:f>
        <x:v>189</x:v>
      </x:c>
      <x:c r="I13" s="84" t="n">
        <x:f>F13*IF(OR(A13="التشغيل",A13="المطبخ",A13="الخدمة",A13="خدمات",A13="نقل"),'General Assumptions'!$B$14,'General Assumptions'!$B$15)</x:f>
        <x:v>63</x:v>
      </x:c>
      <x:c r="J13" s="84" t="n">
        <x:f>SUM(F13:I13)</x:f>
        <x:v>5050.5</x:v>
      </x:c>
    </x:row>
    <x:row r="14">
      <x:c r="A14" t="str">
        <x:v>التسويق</x:v>
      </x:c>
      <x:c r="B14" t="str">
        <x:v>مسؤول تسويق جزئي</x:v>
      </x:c>
      <x:c r="C14" s="71" t="n">
        <x:v>1</x:v>
      </x:c>
      <x:c r="D14" s="82" t="n">
        <x:v>450</x:v>
      </x:c>
      <x:c r="E14" s="84" t="n">
        <x:f>C14*D14</x:f>
        <x:v>450</x:v>
      </x:c>
      <x:c r="F14" s="84" t="n">
        <x:f>E14*12</x:f>
        <x:v>5400</x:v>
      </x:c>
      <x:c r="G14" s="84" t="n">
        <x:f>F14*'General Assumptions'!$B$8</x:f>
        <x:v>769.4999999999999</x:v>
      </x:c>
      <x:c r="H14" s="84" t="n">
        <x:f>F14*'General Assumptions'!$B$13</x:f>
        <x:v>243</x:v>
      </x:c>
      <x:c r="I14" s="84" t="n">
        <x:f>F14*IF(OR(A14="التشغيل",A14="المطبخ",A14="الخدمة",A14="خدمات",A14="نقل"),'General Assumptions'!$B$14,'General Assumptions'!$B$15)</x:f>
        <x:v>81</x:v>
      </x:c>
      <x:c r="J14" s="84" t="n">
        <x:f>SUM(F14:I14)</x:f>
        <x:v>6493.5</x:v>
      </x:c>
    </x:row>
    <x:row r="15">
      <x:c r="A15" s="52" t="str">
        <x:v>إجمالي تكلفة العمالة السنوية</x:v>
      </x:c>
      <x:c r="B15" s="52"/>
      <x:c r="C15" s="52"/>
      <x:c r="D15" s="52"/>
      <x:c r="E15" s="52"/>
      <x:c r="F15" s="52"/>
      <x:c r="G15" s="52"/>
      <x:c r="H15" s="52"/>
      <x:c r="I15" s="52"/>
      <x:c r="J15" s="85" t="n">
        <x:f>SUM(J4:J14)</x:f>
        <x:v>165196.2</x:v>
      </x:c>
    </x:row>
    <x:row r="17">
      <x:c r="A17"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17" s="57"/>
      <x:c r="C17" s="57"/>
      <x:c r="D17" s="57"/>
      <x:c r="E17" s="57"/>
      <x:c r="F17" s="57"/>
      <x:c r="G17" s="57"/>
      <x:c r="H17" s="57"/>
      <x:c r="I17" s="57"/>
      <x:c r="J17" s="57"/>
    </x:row>
    <x:row r="18">
      <x:c r="A18" s="57"/>
      <x:c r="B18" s="57"/>
      <x:c r="C18" s="57"/>
      <x:c r="D18" s="57"/>
      <x:c r="E18" s="57"/>
      <x:c r="F18" s="57"/>
      <x:c r="G18" s="57"/>
      <x:c r="H18" s="57"/>
      <x:c r="I18" s="57"/>
      <x:c r="J18" s="57"/>
    </x:row>
    <x:row r="19">
      <x:c r="A19" s="57"/>
      <x:c r="B19" s="57"/>
      <x:c r="C19" s="57"/>
      <x:c r="D19" s="57"/>
      <x:c r="E19" s="57"/>
      <x:c r="F19" s="57"/>
      <x:c r="G19" s="57"/>
      <x:c r="H19" s="57"/>
      <x:c r="I19" s="57"/>
      <x:c r="J19" s="57"/>
    </x:row>
  </x:sheetData>
  <x:mergeCells>
    <x:mergeCell ref="A1:J1"/>
    <x:mergeCell ref="A15:I15"/>
    <x:mergeCell ref="A17:J19"/>
  </x:mergeCells>
  <x:dataValidations count="2">
    <x:dataValidation operator="between" sqref="C4:C14">
      <x:formula1>0</x:formula1>
      <x:formula2>200</x:formula2>
    </x:dataValidation>
    <x:dataValidation type="decimal" operator="between" sqref="D4:D14">
      <x:formula1>0</x:formula1>
      <x:formula2>10000</x:formula2>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كوفي شوب</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وتصميم وإدارة مشروع</x:v>
      </x:c>
      <x:c r="B4" s="82" t="n">
        <x:v>26000</x:v>
      </x:c>
      <x:c r="C4" s="86" t="n">
        <x:f>IFERROR(B4/$B$18,0)</x:f>
        <x:v>0.06516290726817042</x:v>
      </x:c>
      <x:c r="D4" t="str">
        <x:v>استثماري</x:v>
      </x:c>
      <x:c r="E4" t="str"/>
    </x:row>
    <x:row r="5">
      <x:c r="A5" t="str">
        <x:v>أعمال إنشائية ومدنية</x:v>
      </x:c>
      <x:c r="B5" s="82" t="n">
        <x:v>105000</x:v>
      </x:c>
      <x:c r="C5" s="86" t="n">
        <x:f>IFERROR(B5/$B$18,0)</x:f>
        <x:v>0.2631578947368421</x:v>
      </x:c>
      <x:c r="D5" t="str">
        <x:v>استثماري</x:v>
      </x:c>
      <x:c r="E5" t="str"/>
    </x:row>
    <x:row r="6">
      <x:c r="A6" t="str">
        <x:v>تشطيبات وديكور داخلي</x:v>
      </x:c>
      <x:c r="B6" s="82" t="n">
        <x:v>82000</x:v>
      </x:c>
      <x:c r="C6" s="86" t="n">
        <x:f>IFERROR(B6/$B$18,0)</x:f>
        <x:v>0.20551378446115287</x:v>
      </x:c>
      <x:c r="D6" t="str">
        <x:v>استثماري</x:v>
      </x:c>
      <x:c r="E6" t="str"/>
    </x:row>
    <x:row r="7">
      <x:c r="A7" t="str">
        <x:v>معدات قهوة ومشروبات</x:v>
      </x:c>
      <x:c r="B7" s="82" t="n">
        <x:v>42000</x:v>
      </x:c>
      <x:c r="C7" s="86" t="n">
        <x:f>IFERROR(B7/$B$18,0)</x:f>
        <x:v>0.10526315789473684</x:v>
      </x:c>
      <x:c r="D7" t="str">
        <x:v>استثماري</x:v>
      </x:c>
      <x:c r="E7" t="str"/>
    </x:row>
    <x:row r="8">
      <x:c r="A8" t="str">
        <x:v>مطبخ خفيف وتبريد</x:v>
      </x:c>
      <x:c r="B8" s="82" t="n">
        <x:v>24000</x:v>
      </x:c>
      <x:c r="C8" s="86" t="n">
        <x:f>IFERROR(B8/$B$18,0)</x:f>
        <x:v>0.06015037593984962</x:v>
      </x:c>
      <x:c r="D8" t="str">
        <x:v>استثماري</x:v>
      </x:c>
      <x:c r="E8" t="str"/>
    </x:row>
    <x:row r="9">
      <x:c r="A9" t="str">
        <x:v>أثاث داخلي وخارجي</x:v>
      </x:c>
      <x:c r="B9" s="82" t="n">
        <x:v>25000</x:v>
      </x:c>
      <x:c r="C9" s="86" t="n">
        <x:f>IFERROR(B9/$B$18,0)</x:f>
        <x:v>0.06265664160401002</x:v>
      </x:c>
      <x:c r="D9" t="str">
        <x:v>استثماري</x:v>
      </x:c>
      <x:c r="E9" t="str"/>
    </x:row>
    <x:row r="10">
      <x:c r="A10" t="str">
        <x:v>تكييف وتهوية</x:v>
      </x:c>
      <x:c r="B10" s="82" t="n">
        <x:v>18000</x:v>
      </x:c>
      <x:c r="C10" s="86" t="n">
        <x:f>IFERROR(B10/$B$18,0)</x:f>
        <x:v>0.045112781954887216</x:v>
      </x:c>
      <x:c r="D10" t="str">
        <x:v>استثماري</x:v>
      </x:c>
      <x:c r="E10" t="str"/>
    </x:row>
    <x:row r="11">
      <x:c r="A11" t="str">
        <x:v>كهرباء وسباكة وسلامة</x:v>
      </x:c>
      <x:c r="B11" s="82" t="n">
        <x:v>13000</x:v>
      </x:c>
      <x:c r="C11" s="86" t="n">
        <x:f>IFERROR(B11/$B$18,0)</x:f>
        <x:v>0.03258145363408521</x:v>
      </x:c>
      <x:c r="D11" t="str">
        <x:v>استثماري</x:v>
      </x:c>
      <x:c r="E11" t="str"/>
    </x:row>
    <x:row r="12">
      <x:c r="A12" t="str">
        <x:v>أنظمة POS وكاميرات وشبكة</x:v>
      </x:c>
      <x:c r="B12" s="82" t="n">
        <x:v>7500</x:v>
      </x:c>
      <x:c r="C12" s="86" t="n">
        <x:f>IFERROR(B12/$B$18,0)</x:f>
        <x:v>0.018796992481203006</x:v>
      </x:c>
      <x:c r="D12" t="str">
        <x:v>استثماري</x:v>
      </x:c>
      <x:c r="E12" t="str"/>
    </x:row>
    <x:row r="13">
      <x:c r="A13" t="str">
        <x:v>لوحات وأعمال خارجية</x:v>
      </x:c>
      <x:c r="B13" s="82" t="n">
        <x:v>6500</x:v>
      </x:c>
      <x:c r="C13" s="86" t="n">
        <x:f>IFERROR(B13/$B$18,0)</x:f>
        <x:v>0.016290726817042606</x:v>
      </x:c>
      <x:c r="D13" t="str">
        <x:v>استثماري</x:v>
      </x:c>
      <x:c r="E13" t="str"/>
    </x:row>
    <x:row r="14">
      <x:c r="A14" t="str">
        <x:v>تسويق وتوظيف قبل الافتتاح</x:v>
      </x:c>
      <x:c r="B14" s="82" t="n">
        <x:v>8500</x:v>
      </x:c>
      <x:c r="C14" s="86" t="n">
        <x:f>IFERROR(B14/$B$18,0)</x:f>
        <x:v>0.021303258145363407</x:v>
      </x:c>
      <x:c r="D14" t="str">
        <x:v>استثماري</x:v>
      </x:c>
      <x:c r="E14" t="str"/>
    </x:row>
    <x:row r="15">
      <x:c r="A15" t="str">
        <x:v>مخزون افتتاحي</x:v>
      </x:c>
      <x:c r="B15" s="82" t="n">
        <x:v>5500</x:v>
      </x:c>
      <x:c r="C15" s="86" t="n">
        <x:f>IFERROR(B15/$B$18,0)</x:f>
        <x:v>0.013784461152882205</x:v>
      </x:c>
      <x:c r="D15" t="str">
        <x:v>تشغيلي افتتاحي</x:v>
      </x:c>
      <x:c r="E15" t="str"/>
    </x:row>
    <x:row r="16">
      <x:c r="A16" t="str">
        <x:v>رأس مال عامل افتتاحي</x:v>
      </x:c>
      <x:c r="B16" s="82" t="n">
        <x:v>18000</x:v>
      </x:c>
      <x:c r="C16" s="86" t="n">
        <x:f>IFERROR(B16/$B$18,0)</x:f>
        <x:v>0.045112781954887216</x:v>
      </x:c>
      <x:c r="D16" t="str">
        <x:v>تشغيلي افتتاحي</x:v>
      </x:c>
      <x:c r="E16" t="str"/>
    </x:row>
    <x:row r="17">
      <x:c r="A17" t="str">
        <x:v>احتياطي تجاوز تكاليف</x:v>
      </x:c>
      <x:c r="B17" s="82" t="n">
        <x:v>18000</x:v>
      </x:c>
      <x:c r="C17" s="86" t="n">
        <x:f>IFERROR(B17/$B$18,0)</x:f>
        <x:v>0.045112781954887216</x:v>
      </x:c>
      <x:c r="D17" t="str">
        <x:v>استثماري</x:v>
      </x:c>
      <x:c r="E17" t="str"/>
    </x:row>
    <x:row r="18">
      <x:c r="A18" s="52" t="str">
        <x:v>الإجمالي دون الأرض</x:v>
      </x:c>
      <x:c r="B18" s="54" t="n">
        <x:f>SUM(B4:B17)</x:f>
        <x:v>399000</x:v>
      </x:c>
      <x:c r="C18" s="52"/>
      <x:c r="D18" s="52"/>
      <x:c r="E18" s="52"/>
    </x:row>
    <x:row r="19">
      <x:c r="A19" t="str">
        <x:v>القيمة الاقتصادية للأرض</x:v>
      </x:c>
      <x:c r="B19" s="87" t="n">
        <x:f>'General Assumptions'!$B$4</x:f>
        <x:v>800000</x:v>
      </x:c>
    </x:row>
    <x:row r="20">
      <x:c r="A20" s="16" t="str">
        <x:v>إجمالي رأس المال الاقتصادي</x:v>
      </x:c>
      <x:c r="B20" s="88" t="n">
        <x:f>SUM(B18:B19)</x:f>
        <x:v>1199000</x:v>
      </x:c>
      <x:c r="C20" s="16"/>
      <x:c r="D20" s="16"/>
      <x:c r="E20" s="16"/>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كوفي شوب</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وغاز</x:v>
      </x:c>
      <x:c r="B4" s="84" t="n">
        <x:f>C4/12</x:f>
        <x:v>2700</x:v>
      </x:c>
      <x:c r="C4" s="82" t="n">
        <x:v>32400</x:v>
      </x:c>
      <x:c r="D4" t="str">
        <x:v>التضخم/الاستخدام</x:v>
      </x:c>
      <x:c r="E4" t="str">
        <x:v>شبه ثابت</x:v>
      </x:c>
      <x:c r="F4" t="str"/>
    </x:row>
    <x:row r="5">
      <x:c r="A5" t="str">
        <x:v>صيانة معدات ومبنى</x:v>
      </x:c>
      <x:c r="B5" s="84" t="n">
        <x:f>C5/12</x:f>
        <x:v>1000</x:v>
      </x:c>
      <x:c r="C5" s="82" t="n">
        <x:v>12000</x:v>
      </x:c>
      <x:c r="D5" t="str">
        <x:v>التضخم/الاستخدام</x:v>
      </x:c>
      <x:c r="E5" t="str">
        <x:v>شبه ثابت</x:v>
      </x:c>
      <x:c r="F5" t="str"/>
    </x:row>
    <x:row r="6">
      <x:c r="A6" t="str">
        <x:v>تسويق مستمر</x:v>
      </x:c>
      <x:c r="B6" s="84" t="n">
        <x:f>C6/12</x:f>
        <x:v>2000</x:v>
      </x:c>
      <x:c r="C6" s="82" t="n">
        <x:v>24000</x:v>
      </x:c>
      <x:c r="D6" t="str">
        <x:v>التضخم/الاستخدام</x:v>
      </x:c>
      <x:c r="E6" t="str">
        <x:v>شبه ثابت</x:v>
      </x:c>
      <x:c r="F6" t="str"/>
    </x:row>
    <x:row r="7">
      <x:c r="A7" t="str">
        <x:v>تأمين</x:v>
      </x:c>
      <x:c r="B7" s="84" t="n">
        <x:f>C7/12</x:f>
        <x:v>375</x:v>
      </x:c>
      <x:c r="C7" s="82" t="n">
        <x:v>4500</x:v>
      </x:c>
      <x:c r="D7" t="str">
        <x:v>التضخم/الاستخدام</x:v>
      </x:c>
      <x:c r="E7" t="str">
        <x:v>شبه ثابت</x:v>
      </x:c>
      <x:c r="F7" t="str"/>
    </x:row>
    <x:row r="8">
      <x:c r="A8" t="str">
        <x:v>نظافة ومستهلكات</x:v>
      </x:c>
      <x:c r="B8" s="84" t="n">
        <x:f>C8/12</x:f>
        <x:v>600</x:v>
      </x:c>
      <x:c r="C8" s="82" t="n">
        <x:v>7200</x:v>
      </x:c>
      <x:c r="D8" t="str">
        <x:v>التضخم/الاستخدام</x:v>
      </x:c>
      <x:c r="E8" t="str">
        <x:v>شبه ثابت</x:v>
      </x:c>
      <x:c r="F8" t="str"/>
    </x:row>
    <x:row r="9">
      <x:c r="A9" t="str">
        <x:v>إنترنت واتصالات وأنظمة</x:v>
      </x:c>
      <x:c r="B9" s="84" t="n">
        <x:f>C9/12</x:f>
        <x:v>450</x:v>
      </x:c>
      <x:c r="C9" s="82" t="n">
        <x:v>5400</x:v>
      </x:c>
      <x:c r="D9" t="str">
        <x:v>التضخم/الاستخدام</x:v>
      </x:c>
      <x:c r="E9" t="str">
        <x:v>شبه ثابت</x:v>
      </x:c>
      <x:c r="F9" t="str"/>
    </x:row>
    <x:row r="10">
      <x:c r="A10" t="str">
        <x:v>رسوم وتجديدات ومهنية</x:v>
      </x:c>
      <x:c r="B10" s="84" t="n">
        <x:f>C10/12</x:f>
        <x:v>458.3333333333333</x:v>
      </x:c>
      <x:c r="C10" s="82" t="n">
        <x:v>5500</x:v>
      </x:c>
      <x:c r="D10" t="str">
        <x:v>التضخم/الاستخدام</x:v>
      </x:c>
      <x:c r="E10" t="str">
        <x:v>شبه ثابت</x:v>
      </x:c>
      <x:c r="F10" t="str"/>
    </x:row>
    <x:row r="11">
      <x:c r="A11" t="str">
        <x:v>أمن وحراسة خارجية</x:v>
      </x:c>
      <x:c r="B11" s="84" t="n">
        <x:f>C11/12</x:f>
        <x:v>400</x:v>
      </x:c>
      <x:c r="C11" s="82" t="n">
        <x:v>4800</x:v>
      </x:c>
      <x:c r="D11" t="str">
        <x:v>التضخم/الاستخدام</x:v>
      </x:c>
      <x:c r="E11" t="str">
        <x:v>شبه ثابت</x:v>
      </x:c>
      <x:c r="F11" t="str"/>
    </x:row>
    <x:row r="12">
      <x:c r="A12" t="str">
        <x:v>نقل ومصاريف مشتريات</x:v>
      </x:c>
      <x:c r="B12" s="84" t="n">
        <x:f>C12/12</x:f>
        <x:v>416.6666666666667</x:v>
      </x:c>
      <x:c r="C12" s="82" t="n">
        <x:v>5000</x:v>
      </x:c>
      <x:c r="D12" t="str">
        <x:v>التضخم/الاستخدام</x:v>
      </x:c>
      <x:c r="E12" t="str">
        <x:v>شبه ثابت</x:v>
      </x:c>
      <x:c r="F12" t="str"/>
    </x:row>
    <x:row r="13">
      <x:c r="A13" t="str">
        <x:v>مصروفات إدارية وبنكية</x:v>
      </x:c>
      <x:c r="B13" s="84" t="n">
        <x:f>C13/12</x:f>
        <x:v>500</x:v>
      </x:c>
      <x:c r="C13" s="82" t="n">
        <x:v>6000</x:v>
      </x:c>
      <x:c r="D13" t="str">
        <x:v>التضخم/الاستخدام</x:v>
      </x:c>
      <x:c r="E13" t="str">
        <x:v>شبه ثابت</x:v>
      </x:c>
      <x:c r="F13" t="str"/>
    </x:row>
    <x:row r="14">
      <x:c r="A14" t="str">
        <x:v>احتياطي تشغيلي</x:v>
      </x:c>
      <x:c r="B14" s="84" t="n">
        <x:f>C14/12</x:f>
        <x:v>666.6666666666666</x:v>
      </x:c>
      <x:c r="C14" s="82" t="n">
        <x:v>8000</x:v>
      </x:c>
      <x:c r="D14" t="str">
        <x:v>التضخم/الاستخدام</x:v>
      </x:c>
      <x:c r="E14" t="str">
        <x:v>شبه ثابت</x:v>
      </x:c>
      <x:c r="F14" t="str"/>
    </x:row>
    <x:row r="15">
      <x:c r="A15" s="52" t="str">
        <x:v>إجمالي غير العمالة</x:v>
      </x:c>
      <x:c r="B15" s="54"/>
      <x:c r="C15" s="54" t="n">
        <x:f>SUM(C4:C14)</x:f>
        <x:v>114800</x:v>
      </x:c>
      <x:c r="D15" s="52"/>
      <x:c r="E15" s="52"/>
      <x:c r="F15" s="52"/>
    </x:row>
    <x:row r="16">
      <x:c r="A16" t="str">
        <x:v>إجمالي العمالة</x:v>
      </x:c>
      <x:c r="B16" s="24"/>
      <x:c r="C16" s="87" t="n">
        <x:f>'CS - Payroll'!J15</x:f>
        <x:v>165196.2</x:v>
      </x:c>
    </x:row>
    <x:row r="17">
      <x:c r="A17" s="16" t="str">
        <x:v>إجمالي التشغيل قبل تكلفة المبيعات</x:v>
      </x:c>
      <x:c r="B17" s="60"/>
      <x:c r="C17" s="60" t="n">
        <x:f>SUM(C15:C16)</x:f>
        <x:v>279996.2</x:v>
      </x:c>
      <x:c r="D17" s="16"/>
      <x:c r="E17" s="16"/>
      <x:c r="F17" s="16"/>
    </x:row>
  </x:sheetData>
  <x:mergeCells>
    <x:mergeCell ref="A1:F1"/>
    <x:mergeCell ref="A15:B15"/>
    <x:mergeCell ref="A16:B16"/>
    <x:mergeCell ref="A17:B17"/>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كوفي شوب</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Inputs'!$B$7*'Dynamic Inputs'!$B$8*'Dynamic Inputs'!$B$9</x:f>
        <x:v>437675</x:v>
      </x:c>
      <x:c r="C4" s="84" t="n">
        <x:f>B4*(1+'Dynamic Inputs'!$E$7)</x:f>
        <x:v>490196.00000000006</x:v>
      </x:c>
      <x:c r="D4" s="84" t="n">
        <x:f>C4*(1+'Dynamic Inputs'!$F$7)</x:f>
        <x:v>534313.6400000001</x:v>
      </x:c>
      <x:c r="E4" s="84" t="n">
        <x:f>D4*(1+'Dynamic Inputs'!$G$7)</x:f>
        <x:v>571715.5948000002</x:v>
      </x:c>
      <x:c r="F4" s="84" t="n">
        <x:f>E4*(1+'Dynamic Inputs'!$H$7)</x:f>
        <x:v>606018.5304880003</x:v>
      </x:c>
      <x:c r="G4" s="84" t="n">
        <x:f>F4*(1+'Dynamic Inputs'!$I$7)</x:f>
        <x:v>636319.4570124003</x:v>
      </x:c>
      <x:c r="H4" s="84" t="n">
        <x:f>G4*(1+'Dynamic Inputs'!$J$7)</x:f>
        <x:v>664953.8325779582</x:v>
      </x:c>
      <x:c r="I4" s="84" t="n">
        <x:f>H4*(1+'Dynamic Inputs'!$K$7)</x:f>
        <x:v>691551.9858810765</x:v>
      </x:c>
      <x:c r="J4" s="84" t="n">
        <x:f>I4*(1+'Dynamic Inputs'!$L$7)</x:f>
        <x:v>715756.3053869142</x:v>
      </x:c>
      <x:c r="K4" s="84" t="n">
        <x:f>J4*(1+'Dynamic Inputs'!$M$7)</x:f>
        <x:v>737228.9945485216</x:v>
      </x:c>
    </x:row>
    <x:row r="5">
      <x:c r="A5" t="str">
        <x:v>تكلفة المواد/الخدمة</x:v>
      </x:c>
      <x:c r="B5" s="84" t="n">
        <x:f>B4*'Dynamic Inputs'!$B$10</x:f>
        <x:v>135679.25</x:v>
      </x:c>
      <x:c r="C5" s="84" t="n">
        <x:f>C4*'Dynamic Inputs'!$B$10</x:f>
        <x:v>151960.76</x:v>
      </x:c>
      <x:c r="D5" s="84" t="n">
        <x:f>D4*'Dynamic Inputs'!$B$10</x:f>
        <x:v>165637.22840000005</x:v>
      </x:c>
      <x:c r="E5" s="84" t="n">
        <x:f>E4*'Dynamic Inputs'!$B$10</x:f>
        <x:v>177231.83438800005</x:v>
      </x:c>
      <x:c r="F5" s="84" t="n">
        <x:f>F4*'Dynamic Inputs'!$B$10</x:f>
        <x:v>187865.74445128007</x:v>
      </x:c>
      <x:c r="G5" s="84" t="n">
        <x:f>G4*'Dynamic Inputs'!$B$10</x:f>
        <x:v>197259.0316738441</x:v>
      </x:c>
      <x:c r="H5" s="84" t="n">
        <x:f>H4*'Dynamic Inputs'!$B$10</x:f>
        <x:v>206135.68809916705</x:v>
      </x:c>
      <x:c r="I5" s="84" t="n">
        <x:f>I4*'Dynamic Inputs'!$B$10</x:f>
        <x:v>214381.11562313372</x:v>
      </x:c>
      <x:c r="J5" s="84" t="n">
        <x:f>J4*'Dynamic Inputs'!$B$10</x:f>
        <x:v>221884.4546699434</x:v>
      </x:c>
      <x:c r="K5" s="84" t="n">
        <x:f>K4*'Dynamic Inputs'!$B$10</x:f>
        <x:v>228540.9883100417</x:v>
      </x:c>
    </x:row>
    <x:row r="6">
      <x:c r="A6" t="str">
        <x:v>مجمل الربح</x:v>
      </x:c>
      <x:c r="B6" s="84" t="n">
        <x:f>B4-B5</x:f>
        <x:v>301995.75</x:v>
      </x:c>
      <x:c r="C6" s="84" t="n">
        <x:f>C4-C5</x:f>
        <x:v>338235.24000000005</x:v>
      </x:c>
      <x:c r="D6" s="84" t="n">
        <x:f>D4-D5</x:f>
        <x:v>368676.4116000001</x:v>
      </x:c>
      <x:c r="E6" s="84" t="n">
        <x:f>E4-E5</x:f>
        <x:v>394483.7604120001</x:v>
      </x:c>
      <x:c r="F6" s="84" t="n">
        <x:f>F4-F5</x:f>
        <x:v>418152.78603672015</x:v>
      </x:c>
      <x:c r="G6" s="84" t="n">
        <x:f>G4-G5</x:f>
        <x:v>439060.4253385562</x:v>
      </x:c>
      <x:c r="H6" s="84" t="n">
        <x:f>H4-H5</x:f>
        <x:v>458818.14447879116</x:v>
      </x:c>
      <x:c r="I6" s="84" t="n">
        <x:f>I4-I5</x:f>
        <x:v>477170.8702579428</x:v>
      </x:c>
      <x:c r="J6" s="84" t="n">
        <x:f>J4-J5</x:f>
        <x:v>493871.85071697074</x:v>
      </x:c>
      <x:c r="K6" s="84" t="n">
        <x:f>K4-K5</x:f>
        <x:v>508688.00623847987</x:v>
      </x:c>
    </x:row>
    <x:row r="7">
      <x:c r="A7" t="str">
        <x:v>تكلفة العمالة</x:v>
      </x:c>
      <x:c r="B7" s="84" t="n">
        <x:f>'CS - Payroll'!J15</x:f>
        <x:v>165196.2</x:v>
      </x:c>
      <x:c r="C7" s="84" t="n">
        <x:f>B7*(1+'General Assumptions'!$B$9)</x:f>
        <x:v>171804.048</x:v>
      </x:c>
      <x:c r="D7" s="84" t="n">
        <x:f>C7*(1+'General Assumptions'!$B$9)</x:f>
        <x:v>178676.20992000002</x:v>
      </x:c>
      <x:c r="E7" s="84" t="n">
        <x:f>D7*(1+'General Assumptions'!$B$9)</x:f>
        <x:v>185823.25831680003</x:v>
      </x:c>
      <x:c r="F7" s="84" t="n">
        <x:f>E7*(1+'General Assumptions'!$B$9)</x:f>
        <x:v>193256.18864947202</x:v>
      </x:c>
      <x:c r="G7" s="84" t="n">
        <x:f>F7*(1+'General Assumptions'!$B$9)</x:f>
        <x:v>200986.43619545092</x:v>
      </x:c>
      <x:c r="H7" s="84" t="n">
        <x:f>G7*(1+'General Assumptions'!$B$9)</x:f>
        <x:v>209025.89364326897</x:v>
      </x:c>
      <x:c r="I7" s="84" t="n">
        <x:f>H7*(1+'General Assumptions'!$B$9)</x:f>
        <x:v>217386.92938899974</x:v>
      </x:c>
      <x:c r="J7" s="84" t="n">
        <x:f>I7*(1+'General Assumptions'!$B$9)</x:f>
        <x:v>226082.40656455973</x:v>
      </x:c>
      <x:c r="K7" s="84" t="n">
        <x:f>J7*(1+'General Assumptions'!$B$9)</x:f>
        <x:v>235125.70282714211</x:v>
      </x:c>
    </x:row>
    <x:row r="8">
      <x:c r="A8" t="str">
        <x:v>OPEX غير العمالة</x:v>
      </x:c>
      <x:c r="B8" s="84" t="n">
        <x:f>'CS - OPEX'!C15</x:f>
        <x:v>114800</x:v>
      </x:c>
      <x:c r="C8" s="84" t="n">
        <x:f>B8*(1+'General Assumptions'!$B$10)</x:f>
        <x:v>118244</x:v>
      </x:c>
      <x:c r="D8" s="84" t="n">
        <x:f>C8*(1+'General Assumptions'!$B$10)</x:f>
        <x:v>121791.32</x:v>
      </x:c>
      <x:c r="E8" s="84" t="n">
        <x:f>D8*(1+'General Assumptions'!$B$10)</x:f>
        <x:v>125445.05960000001</x:v>
      </x:c>
      <x:c r="F8" s="84" t="n">
        <x:f>E8*(1+'General Assumptions'!$B$10)</x:f>
        <x:v>129208.41138800001</x:v>
      </x:c>
      <x:c r="G8" s="84" t="n">
        <x:f>F8*(1+'General Assumptions'!$B$10)</x:f>
        <x:v>133084.66372964001</x:v>
      </x:c>
      <x:c r="H8" s="84" t="n">
        <x:f>G8*(1+'General Assumptions'!$B$10)</x:f>
        <x:v>137077.20364152922</x:v>
      </x:c>
      <x:c r="I8" s="84" t="n">
        <x:f>H8*(1+'General Assumptions'!$B$10)</x:f>
        <x:v>141189.5197507751</x:v>
      </x:c>
      <x:c r="J8" s="84" t="n">
        <x:f>I8*(1+'General Assumptions'!$B$10)</x:f>
        <x:v>145425.20534329835</x:v>
      </x:c>
      <x:c r="K8" s="84" t="n">
        <x:f>J8*(1+'General Assumptions'!$B$10)</x:f>
        <x:v>149787.9615035973</x:v>
      </x:c>
    </x:row>
    <x:row r="9">
      <x:c r="A9" t="str">
        <x:v>EBITDA</x:v>
      </x:c>
      <x:c r="B9" s="84" t="n">
        <x:f>B6-B7-B8</x:f>
        <x:v>21999.54999999999</x:v>
      </x:c>
      <x:c r="C9" s="84" t="n">
        <x:f>C6-C7-C8</x:f>
        <x:v>48187.19200000004</x:v>
      </x:c>
      <x:c r="D9" s="84" t="n">
        <x:f>D6-D7-D8</x:f>
        <x:v>68208.88168000008</x:v>
      </x:c>
      <x:c r="E9" s="84" t="n">
        <x:f>E6-E7-E8</x:f>
        <x:v>83215.44249520008</x:v>
      </x:c>
      <x:c r="F9" s="84" t="n">
        <x:f>F6-F7-F8</x:f>
        <x:v>95688.18599924812</x:v>
      </x:c>
      <x:c r="G9" s="84" t="n">
        <x:f>G6-G7-G8</x:f>
        <x:v>104989.32541346524</x:v>
      </x:c>
      <x:c r="H9" s="84" t="n">
        <x:f>H6-H7-H8</x:f>
        <x:v>112715.04719399297</x:v>
      </x:c>
      <x:c r="I9" s="84" t="n">
        <x:f>I6-I7-I8</x:f>
        <x:v>118594.42111816799</x:v>
      </x:c>
      <x:c r="J9" s="84" t="n">
        <x:f>J6-J7-J8</x:f>
        <x:v>122364.23880911266</x:v>
      </x:c>
      <x:c r="K9" s="84" t="n">
        <x:f>K6-K7-K8</x:f>
        <x:v>123774.34190774048</x:v>
      </x:c>
    </x:row>
    <x:row r="10">
      <x:c r="A10" t="str">
        <x:v>هامش EBITDA</x:v>
      </x:c>
      <x:c r="B10" s="86" t="n">
        <x:f>IFERROR(B9/B4,0)</x:f>
        <x:v>0.05026457988233275</x:v>
      </x:c>
      <x:c r="C10" s="86" t="n">
        <x:f>IFERROR(C9/C4,0)</x:f>
        <x:v>0.09830188740830205</x:v>
      </x:c>
      <x:c r="D10" s="86" t="n">
        <x:f>IFERROR(D9/D4,0)</x:f>
        <x:v>0.12765700999136026</x:v>
      </x:c>
      <x:c r="E10" s="86" t="n">
        <x:f>IFERROR(E9/E4,0)</x:f>
        <x:v>0.14555391396015852</x:v>
      </x:c>
      <x:c r="F10" s="86" t="n">
        <x:f>IFERROR(F9/F4,0)</x:f>
        <x:v>0.15789646881291666</x:v>
      </x:c>
      <x:c r="G10" s="86" t="n">
        <x:f>IFERROR(G9/G4,0)</x:f>
        <x:v>0.1649946803550583</x:v>
      </x:c>
      <x:c r="H10" s="86" t="n">
        <x:f>IFERROR(H9/H4,0)</x:f>
        <x:v>0.1695080796166077</x:v>
      </x:c>
      <x:c r="I10" s="86" t="n">
        <x:f>IFERROR(I9/I4,0)</x:f>
        <x:v>0.1714902473558397</x:v>
      </x:c>
      <x:c r="J10" s="86" t="n">
        <x:f>IFERROR(J9/J4,0)</x:f>
        <x:v>0.1709579613734127</x:v>
      </x:c>
      <x:c r="K10" s="86" t="n">
        <x:f>IFERROR(K9/K4,0)</x:f>
        <x:v>0.16789131032962124</x:v>
      </x:c>
    </x:row>
    <x:row r="11">
      <x:c r="A11" t="str">
        <x:v>الاستهلاك</x:v>
      </x:c>
      <x:c r="B11" s="84" t="n">
        <x:f>'CS - CAPEX'!B18*'General Assumptions'!$B$19</x:f>
        <x:v>29925</x:v>
      </x:c>
      <x:c r="C11" s="84" t="n">
        <x:f>'CS - CAPEX'!B18*'General Assumptions'!$B$19</x:f>
        <x:v>29925</x:v>
      </x:c>
      <x:c r="D11" s="84" t="n">
        <x:f>'CS - CAPEX'!B18*'General Assumptions'!$B$19</x:f>
        <x:v>29925</x:v>
      </x:c>
      <x:c r="E11" s="84" t="n">
        <x:f>'CS - CAPEX'!B18*'General Assumptions'!$B$19</x:f>
        <x:v>29925</x:v>
      </x:c>
      <x:c r="F11" s="84" t="n">
        <x:f>'CS - CAPEX'!B18*'General Assumptions'!$B$19</x:f>
        <x:v>29925</x:v>
      </x:c>
      <x:c r="G11" s="84" t="n">
        <x:f>'CS - CAPEX'!B18*'General Assumptions'!$B$19</x:f>
        <x:v>29925</x:v>
      </x:c>
      <x:c r="H11" s="84" t="n">
        <x:f>'CS - CAPEX'!B18*'General Assumptions'!$B$19</x:f>
        <x:v>29925</x:v>
      </x:c>
      <x:c r="I11" s="84" t="n">
        <x:f>'CS - CAPEX'!B18*'General Assumptions'!$B$19</x:f>
        <x:v>29925</x:v>
      </x:c>
      <x:c r="J11" s="84" t="n">
        <x:f>'CS - CAPEX'!B18*'General Assumptions'!$B$19</x:f>
        <x:v>29925</x:v>
      </x:c>
      <x:c r="K11" s="84" t="n">
        <x:f>'CS - CAPEX'!B18*'General Assumptions'!$B$19</x:f>
        <x:v>29925</x:v>
      </x:c>
    </x:row>
    <x:row r="12">
      <x:c r="A12" t="str">
        <x:v>صافي الربح</x:v>
      </x:c>
      <x:c r="B12" s="84" t="n">
        <x:f>B9-B11-B44-B45</x:f>
        <x:v>-22289.45000000001</x:v>
      </x:c>
      <x:c r="C12" s="84" t="n">
        <x:f>C9-C11-C44-C45</x:f>
        <x:v>4760.1536000000315</x:v>
      </x:c>
      <x:c r="D12" s="84" t="n">
        <x:f>D9-D11-D44-D45</x:f>
        <x:v>22419.10534400006</x:v>
      </x:c>
      <x:c r="E12" s="84" t="n">
        <x:f>E9-E11-E44-E45</x:f>
        <x:v>36065.95399616007</x:v>
      </x:c>
      <x:c r="F12" s="84" t="n">
        <x:f>F9-F11-F44-F45</x:f>
        <x:v>47685.7487993985</x:v>
      </x:c>
      <x:c r="G12" s="84" t="n">
        <x:f>G9-G11-G44-G45</x:f>
        <x:v>56768.26033077219</x:v>
      </x:c>
      <x:c r="H12" s="84" t="n">
        <x:f>H9-H11-H44-H45</x:f>
        <x:v>64590.437755194376</x:v>
      </x:c>
      <x:c r="I12" s="84" t="n">
        <x:f>I9-I11-I44-I45</x:f>
        <x:v>70935.5368945344</x:v>
      </x:c>
      <x:c r="J12" s="84" t="n">
        <x:f>J9-J11-J44-J45</x:f>
        <x:v>73951.39104729013</x:v>
      </x:c>
      <x:c r="K12" s="84" t="n">
        <x:f>K9-K11-K44-K45</x:f>
        <x:v>75079.47352619239</x:v>
      </x:c>
    </x:row>
    <x:row r="13">
      <x:c r="A13" t="str">
        <x:v>التدفق النقدي الحر</x:v>
      </x:c>
      <x:c r="B13" s="84" t="n">
        <x:f>B49</x:f>
        <x:v>-8660.860000000008</x:v>
      </x:c>
      <x:c r="C13" s="84" t="n">
        <x:f>C49</x:f>
        <x:v>35398.49360000003</x:v>
      </x:c>
      <x:c r="D13" s="84" t="n">
        <x:f>D49</x:f>
        <x:v>51920.04694400006</x:v>
      </x:c>
      <x:c r="E13" s="84" t="n">
        <x:f>E49</x:f>
        <x:v>64328.23670816005</x:v>
      </x:c>
      <x:c r="F13" s="84" t="n">
        <x:f>F49</x:f>
        <x:v>74492.37265811849</x:v>
      </x:c>
      <x:c r="G13" s="84" t="n">
        <x:f>G49</x:f>
        <x:v>82173.40473930819</x:v>
      </x:c>
      <x:c r="H13" s="84" t="n">
        <x:f>H49</x:f>
        <x:v>88453.9752212609</x:v>
      </x:c>
      <x:c r="I13" s="84" t="n">
        <x:f>I49</x:f>
        <x:v>93279.6476963473</x:v>
      </x:c>
      <x:c r="J13" s="84" t="n">
        <x:f>J49</x:f>
        <x:v>96439.13187693988</x:v>
      </x:c>
      <x:c r="K13" s="84" t="n">
        <x:f>K49</x:f>
        <x:v>97731.11217649595</x:v>
      </x:c>
    </x:row>
    <x:row r="14">
      <x:c r="A14" t="str">
        <x:v>DSCR</x:v>
      </x:c>
      <x:c r="B14" s="89" t="n">
        <x:f>IF(1&lt;='Dynamic Inputs'!$B$12,IFERROR((B9-B45)/(('CS - CAPEX'!$B$18*'Dynamic Inputs'!$B$11)*'General Assumptions'!$B$6/(1-(1+'General Assumptions'!$B$6)^(-'Dynamic Inputs'!$B$12))),0),0)</x:f>
        <x:v>0.6937512377372038</x:v>
      </x:c>
      <x:c r="C14" s="89" t="n">
        <x:f>IF(2&lt;='Dynamic Inputs'!$B$12,IFERROR((C9-C45)/(('CS - CAPEX'!$B$18*'Dynamic Inputs'!$B$11)*'General Assumptions'!$B$6/(1-(1+'General Assumptions'!$B$6)^(-'Dynamic Inputs'!$B$12))),0),0)</x:f>
        <x:v>1.482045472754012</x:v>
      </x:c>
      <x:c r="D14" s="89" t="n">
        <x:f>IF(3&lt;='Dynamic Inputs'!$B$12,IFERROR((D9-D45)/(('CS - CAPEX'!$B$18*'Dynamic Inputs'!$B$11)*'General Assumptions'!$B$6/(1-(1+'General Assumptions'!$B$6)^(-'Dynamic Inputs'!$B$12))),0),0)</x:f>
        <x:v>1.974207452872007</x:v>
      </x:c>
      <x:c r="E14" s="89" t="n">
        <x:f>IF(4&lt;='Dynamic Inputs'!$B$12,IFERROR((E9-E45)/(('CS - CAPEX'!$B$18*'Dynamic Inputs'!$B$11)*'General Assumptions'!$B$6/(1-(1+'General Assumptions'!$B$6)^(-'Dynamic Inputs'!$B$12))),0),0)</x:f>
        <x:v>2.3398485957049995</x:v>
      </x:c>
      <x:c r="F14" s="89" t="n">
        <x:f>IF(5&lt;='Dynamic Inputs'!$B$12,IFERROR((F9-F45)/(('CS - CAPEX'!$B$18*'Dynamic Inputs'!$B$11)*'General Assumptions'!$B$6/(1-(1+'General Assumptions'!$B$6)^(-'Dynamic Inputs'!$B$12))),0),0)</x:f>
        <x:v>2.641567016634621</x:v>
      </x:c>
      <x:c r="G14" s="89" t="n">
        <x:f>IF(6&lt;='Dynamic Inputs'!$B$12,IFERROR((G9-G45)/(('CS - CAPEX'!$B$18*'Dynamic Inputs'!$B$11)*'General Assumptions'!$B$6/(1-(1+'General Assumptions'!$B$6)^(-'Dynamic Inputs'!$B$12))),0),0)</x:f>
        <x:v>2.863272736834179</x:v>
      </x:c>
      <x:c r="H14" s="89" t="n">
        <x:f>IF(7&lt;='Dynamic Inputs'!$B$12,IFERROR((H9-H45)/(('CS - CAPEX'!$B$18*'Dynamic Inputs'!$B$11)*'General Assumptions'!$B$6/(1-(1+'General Assumptions'!$B$6)^(-'Dynamic Inputs'!$B$12))),0),0)</x:f>
        <x:v>3.04523408286881</x:v>
      </x:c>
      <x:c r="I14" s="89" t="n">
        <x:f>IF(8&lt;='Dynamic Inputs'!$B$12,IFERROR((I9-I45)/(('CS - CAPEX'!$B$18*'Dynamic Inputs'!$B$11)*'General Assumptions'!$B$6/(1-(1+'General Assumptions'!$B$6)^(-'Dynamic Inputs'!$B$12))),0),0)</x:f>
        <x:v>0</x:v>
      </x:c>
      <x:c r="J14" s="89" t="n">
        <x:f>IF(9&lt;='Dynamic Inputs'!$B$12,IFERROR((J9-J45)/(('CS - CAPEX'!$B$18*'Dynamic Inputs'!$B$11)*'General Assumptions'!$B$6/(1-(1+'General Assumptions'!$B$6)^(-'Dynamic Inputs'!$B$12))),0),0)</x:f>
        <x:v>0</x:v>
      </x:c>
      <x:c r="K14" s="89" t="n">
        <x:f>IF(10&lt;='Dynamic Inputs'!$B$12,IFERROR((K9-K45)/(('CS - CAPEX'!$B$18*'Dynamic Inputs'!$B$11)*'General Assumptions'!$B$6/(1-(1+'General Assumptions'!$B$6)^(-'Dynamic Inputs'!$B$12))),0),0)</x:f>
        <x:v>0</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'CS - CAPEX'!B18</x:f>
        <x:v>399000</x:v>
      </x:c>
      <x:c r="C17" s="24" t="n">
        <x:f>'CS - CAPEX'!B20</x:f>
        <x:v>1199000</x:v>
      </x:c>
      <x:c r="D17" t="str">
        <x:v>موصى به بشروط</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304192.9780759853</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-495807.02192401444</x:v>
      </x:c>
      <x:c r="D18" t="str">
        <x:v>يُقبل إذا موجب بعد الأرض</x:v>
      </x:c>
      <x:c r="E18" s="24" t="n">
        <x:v>0</x:v>
      </x:c>
      <x:c r="F18" t="str"/>
    </x:row>
    <x:row r="19">
      <x:c r="A19" t="str">
        <x:v>IRR</x:v>
      </x:c>
      <x:c r="B19" s="26" t="n">
        <x:f>IRR(B51:L51)</x:f>
        <x:v>0.24945762188458753</x:v>
      </x:c>
      <x:c r="C19" s="26" t="n">
        <x:f>IRR(B52:L52)</x:f>
        <x:v>0.027046270283204527</x:v>
      </x:c>
      <x:c r="D19" t="str">
        <x:v>يُقارن بمعدل الخصم</x:v>
      </x:c>
      <x:c r="E19" s="26" t="n">
        <x:v>0.115</x:v>
      </x:c>
      <x:c r="F19" t="str"/>
    </x:row>
    <x:row r="20">
      <x:c r="A20" t="str">
        <x:v>فترة الاسترداد</x:v>
      </x:c>
      <x:c r="B20" t="n">
        <x:f>COUNTIF(B53:L53,"&lt;0")</x:f>
        <x:v>6</x:v>
      </x:c>
      <x:c r="C20" t="n">
        <x:f>COUNTIF(B54:L54,"&lt;0")</x:f>
        <x:v>10</x:v>
      </x:c>
      <x:c r="D20" t="str">
        <x:v>الأقصر أفضل</x:v>
      </x:c>
      <x:c r="E20" t="n">
        <x:v>7</x:v>
      </x:c>
      <x:c r="F20" t="str">
        <x:v>سنة</x:v>
      </x:c>
    </x:row>
    <x:row r="21">
      <x:c r="A21" t="str">
        <x:v>أدنى DSCR</x:v>
      </x:c>
      <x:c r="B21" s="62" t="n">
        <x:f>MIN(B14:INDEX(B14:K14,1,'Dynamic Inputs'!$B$12))</x:f>
        <x:v>0.6937512377372038</x:v>
      </x:c>
      <x:c r="C21" s="62" t="n">
        <x:f>B21</x:f>
        <x:v>0.6937512377372038</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MAX(0,'CS - CAPEX'!$B$18*'Dynamic Inputs'!$B$11*(1-(1-1)/'Dynamic Inputs'!$B$12))</x:f>
        <x:v>159600</x:v>
      </x:c>
      <x:c r="C43" s="95" t="n">
        <x:f>MAX(0,'CS - CAPEX'!$B$18*'Dynamic Inputs'!$B$11*(1-(2-1)/'Dynamic Inputs'!$B$12))</x:f>
        <x:v>136800</x:v>
      </x:c>
      <x:c r="D43" s="95" t="n">
        <x:f>MAX(0,'CS - CAPEX'!$B$18*'Dynamic Inputs'!$B$11*(1-(3-1)/'Dynamic Inputs'!$B$12))</x:f>
        <x:v>114000</x:v>
      </x:c>
      <x:c r="E43" s="95" t="n">
        <x:f>MAX(0,'CS - CAPEX'!$B$18*'Dynamic Inputs'!$B$11*(1-(4-1)/'Dynamic Inputs'!$B$12))</x:f>
        <x:v>91200</x:v>
      </x:c>
      <x:c r="F43" s="95" t="n">
        <x:f>MAX(0,'CS - CAPEX'!$B$18*'Dynamic Inputs'!$B$11*(1-(5-1)/'Dynamic Inputs'!$B$12))</x:f>
        <x:v>68400</x:v>
      </x:c>
      <x:c r="G43" s="95" t="n">
        <x:f>MAX(0,'CS - CAPEX'!$B$18*'Dynamic Inputs'!$B$11*(1-(6-1)/'Dynamic Inputs'!$B$12))</x:f>
        <x:v>45600</x:v>
      </x:c>
      <x:c r="H43" s="95" t="n">
        <x:f>MAX(0,'CS - CAPEX'!$B$18*'Dynamic Inputs'!$B$11*(1-(7-1)/'Dynamic Inputs'!$B$12))</x:f>
        <x:v>22800.000000000007</x:v>
      </x:c>
      <x:c r="I43" s="95" t="n">
        <x:f>MAX(0,'CS - CAPEX'!$B$18*'Dynamic Inputs'!$B$11*(1-(8-1)/'Dynamic Inputs'!$B$12))</x:f>
        <x:v>0</x:v>
      </x:c>
      <x:c r="J43" s="95" t="n">
        <x:f>MAX(0,'CS - CAPEX'!$B$18*'Dynamic Inputs'!$B$11*(1-(9-1)/'Dynamic Inputs'!$B$12))</x:f>
        <x:v>0</x:v>
      </x:c>
      <x:c r="K43" s="95" t="n">
        <x:f>MAX(0,'CS - CAPEX'!$B$18*'Dynamic Inputs'!$B$11*(1-(10-1)/'Dynamic Inputs'!$B$12))</x:f>
        <x:v>0</x:v>
      </x:c>
      <x:c r="L43" s="95"/>
    </x:row>
    <x:row r="44">
      <x:c r="A44" s="96" t="str">
        <x:v>الفائدة</x:v>
      </x:c>
      <x:c r="B44" s="95" t="n">
        <x:f>IF(1&lt;='Dynamic Inputs'!$B$12,B43*'General Assumptions'!$B$6,0)</x:f>
        <x:v>14364</x:v>
      </x:c>
      <x:c r="C44" s="95" t="n">
        <x:f>IF(2&lt;='Dynamic Inputs'!$B$12,C43*'General Assumptions'!$B$6,0)</x:f>
        <x:v>12312</x:v>
      </x:c>
      <x:c r="D44" s="95" t="n">
        <x:f>IF(3&lt;='Dynamic Inputs'!$B$12,D43*'General Assumptions'!$B$6,0)</x:f>
        <x:v>10260</x:v>
      </x:c>
      <x:c r="E44" s="95" t="n">
        <x:f>IF(4&lt;='Dynamic Inputs'!$B$12,E43*'General Assumptions'!$B$6,0)</x:f>
        <x:v>8208</x:v>
      </x:c>
      <x:c r="F44" s="95" t="n">
        <x:f>IF(5&lt;='Dynamic Inputs'!$B$12,F43*'General Assumptions'!$B$6,0)</x:f>
        <x:v>6156</x:v>
      </x:c>
      <x:c r="G44" s="95" t="n">
        <x:f>IF(6&lt;='Dynamic Inputs'!$B$12,G43*'General Assumptions'!$B$6,0)</x:f>
        <x:v>4104</x:v>
      </x:c>
      <x:c r="H44" s="95" t="n">
        <x:f>IF(7&lt;='Dynamic Inputs'!$B$12,H43*'General Assumptions'!$B$6,0)</x:f>
        <x:v>2052.0000000000005</x:v>
      </x:c>
      <x:c r="I44" s="95" t="n">
        <x:f>IF(8&lt;='Dynamic Inputs'!$B$12,I43*'General Assumptions'!$B$6,0)</x:f>
        <x:v>0</x:v>
      </x:c>
      <x:c r="J44" s="95" t="n">
        <x:f>IF(9&lt;='Dynamic Inputs'!$B$12,J43*'General Assumptions'!$B$6,0)</x:f>
        <x:v>0</x:v>
      </x:c>
      <x:c r="K44" s="95" t="n">
        <x:f>IF(10&lt;='Dynamic Inputs'!$B$12,K43*'General Assumptions'!$B$6,0)</x:f>
        <x:v>0</x:v>
      </x:c>
      <x:c r="L44" s="95"/>
    </x:row>
    <x:row r="45">
      <x:c r="A45" s="96" t="str">
        <x:v>الضريبة</x:v>
      </x:c>
      <x:c r="B45" s="95" t="n">
        <x:f>MAX(0,B9-B11-B44)*'General Assumptions'!$B$7</x:f>
        <x:v>0</x:v>
      </x:c>
      <x:c r="C45" s="95" t="n">
        <x:f>MAX(0,C9-C11-C44)*'General Assumptions'!$B$7</x:f>
        <x:v>1190.0384000000079</x:v>
      </x:c>
      <x:c r="D45" s="95" t="n">
        <x:f>MAX(0,D9-D11-D44)*'General Assumptions'!$B$7</x:f>
        <x:v>5604.776336000016</x:v>
      </x:c>
      <x:c r="E45" s="95" t="n">
        <x:f>MAX(0,E9-E11-E44)*'General Assumptions'!$B$7</x:f>
        <x:v>9016.488499040017</x:v>
      </x:c>
      <x:c r="F45" s="95" t="n">
        <x:f>MAX(0,F9-F11-F44)*'General Assumptions'!$B$7</x:f>
        <x:v>11921.437199849624</x:v>
      </x:c>
      <x:c r="G45" s="95" t="n">
        <x:f>MAX(0,G9-G11-G44)*'General Assumptions'!$B$7</x:f>
        <x:v>14192.065082693049</x:v>
      </x:c>
      <x:c r="H45" s="95" t="n">
        <x:f>MAX(0,H9-H11-H44)*'General Assumptions'!$B$7</x:f>
        <x:v>16147.609438798594</x:v>
      </x:c>
      <x:c r="I45" s="95" t="n">
        <x:f>MAX(0,I9-I11-I44)*'General Assumptions'!$B$7</x:f>
        <x:v>17733.8842236336</x:v>
      </x:c>
      <x:c r="J45" s="95" t="n">
        <x:f>MAX(0,J9-J11-J44)*'General Assumptions'!$B$7</x:f>
        <x:v>18487.847761822533</x:v>
      </x:c>
      <x:c r="K45" s="95" t="n">
        <x:f>MAX(0,K9-K11-K44)*'General Assumptions'!$B$7</x:f>
        <x:v>18769.868381548098</x:v>
      </x:c>
      <x:c r="L45" s="95"/>
    </x:row>
    <x:row r="46">
      <x:c r="A46" s="96" t="str">
        <x:v>رأس المال العامل</x:v>
      </x:c>
      <x:c r="B46" s="95" t="n">
        <x:f>B4*'General Assumptions'!$B$16</x:f>
        <x:v>26260.5</x:v>
      </x:c>
      <x:c r="C46" s="95" t="n">
        <x:f>C4*'General Assumptions'!$B$16</x:f>
        <x:v>29411.760000000002</x:v>
      </x:c>
      <x:c r="D46" s="95" t="n">
        <x:f>D4*'General Assumptions'!$B$16</x:f>
        <x:v>32058.818400000007</x:v>
      </x:c>
      <x:c r="E46" s="95" t="n">
        <x:f>E4*'General Assumptions'!$B$16</x:f>
        <x:v>34302.93568800001</x:v>
      </x:c>
      <x:c r="F46" s="95" t="n">
        <x:f>F4*'General Assumptions'!$B$16</x:f>
        <x:v>36361.11182928002</x:v>
      </x:c>
      <x:c r="G46" s="95" t="n">
        <x:f>G4*'General Assumptions'!$B$16</x:f>
        <x:v>38179.167420744016</x:v>
      </x:c>
      <x:c r="H46" s="95" t="n">
        <x:f>H4*'General Assumptions'!$B$16</x:f>
        <x:v>39897.229954677496</x:v>
      </x:c>
      <x:c r="I46" s="95" t="n">
        <x:f>I4*'General Assumptions'!$B$16</x:f>
        <x:v>41493.119152864594</x:v>
      </x:c>
      <x:c r="J46" s="95" t="n">
        <x:f>J4*'General Assumptions'!$B$16</x:f>
        <x:v>42945.37832321485</x:v>
      </x:c>
      <x:c r="K46" s="95" t="n">
        <x:f>K4*'General Assumptions'!$B$16</x:f>
        <x:v>44233.739672911295</x:v>
      </x:c>
      <x:c r="L46" s="95"/>
    </x:row>
    <x:row r="47">
      <x:c r="A47" s="96" t="str">
        <x:v>التغير في رأس المال العامل</x:v>
      </x:c>
      <x:c r="B47" s="95" t="n">
        <x:f>B46</x:f>
        <x:v>26260.5</x:v>
      </x:c>
      <x:c r="C47" s="95" t="n">
        <x:f>C46-B46</x:f>
        <x:v>3151.260000000002</x:v>
      </x:c>
      <x:c r="D47" s="95" t="n">
        <x:f>D46-C46</x:f>
        <x:v>2647.0584000000053</x:v>
      </x:c>
      <x:c r="E47" s="95" t="n">
        <x:f>E46-D46</x:f>
        <x:v>2244.117288000005</x:v>
      </x:c>
      <x:c r="F47" s="95" t="n">
        <x:f>F46-E46</x:f>
        <x:v>2058.1761412800042</x:v>
      </x:c>
      <x:c r="G47" s="95" t="n">
        <x:f>G46-F46</x:f>
        <x:v>1818.055591463999</x:v>
      </x:c>
      <x:c r="H47" s="95" t="n">
        <x:f>H46-G46</x:f>
        <x:v>1718.0625339334802</x:v>
      </x:c>
      <x:c r="I47" s="95" t="n">
        <x:f>I46-H46</x:f>
        <x:v>1595.8891981870984</x:v>
      </x:c>
      <x:c r="J47" s="95" t="n">
        <x:f>J46-I46</x:f>
        <x:v>1452.2591703502549</x:v>
      </x:c>
      <x:c r="K47" s="95" t="n">
        <x:f>K46-J46</x:f>
        <x:v>1288.3613496964463</x:v>
      </x:c>
      <x:c r="L47" s="95"/>
    </x:row>
    <x:row r="48">
      <x:c r="A48" s="96" t="str">
        <x:v>الصيانة الرأسمالية</x:v>
      </x:c>
      <x:c r="B48" s="95" t="n">
        <x:f>'CS - CAPEX'!$B$18*'General Assumptions'!$B$18</x:f>
        <x:v>5985</x:v>
      </x:c>
      <x:c r="C48" s="95" t="n">
        <x:f>'CS - CAPEX'!$B$18*'General Assumptions'!$B$18</x:f>
        <x:v>5985</x:v>
      </x:c>
      <x:c r="D48" s="95" t="n">
        <x:f>'CS - CAPEX'!$B$18*'General Assumptions'!$B$18</x:f>
        <x:v>5985</x:v>
      </x:c>
      <x:c r="E48" s="95" t="n">
        <x:f>'CS - CAPEX'!$B$18*'General Assumptions'!$B$18</x:f>
        <x:v>5985</x:v>
      </x:c>
      <x:c r="F48" s="95" t="n">
        <x:f>'CS - CAPEX'!$B$18*'General Assumptions'!$B$18</x:f>
        <x:v>5985</x:v>
      </x:c>
      <x:c r="G48" s="95" t="n">
        <x:f>'CS - CAPEX'!$B$18*'General Assumptions'!$B$18</x:f>
        <x:v>5985</x:v>
      </x:c>
      <x:c r="H48" s="95" t="n">
        <x:f>'CS - CAPEX'!$B$18*'General Assumptions'!$B$18</x:f>
        <x:v>5985</x:v>
      </x:c>
      <x:c r="I48" s="95" t="n">
        <x:f>'CS - CAPEX'!$B$18*'General Assumptions'!$B$18</x:f>
        <x:v>5985</x:v>
      </x:c>
      <x:c r="J48" s="95" t="n">
        <x:f>'CS - CAPEX'!$B$18*'General Assumptions'!$B$18</x:f>
        <x:v>5985</x:v>
      </x:c>
      <x:c r="K48" s="95" t="n">
        <x:f>'CS - CAPEX'!$B$18*'General Assumptions'!$B$18</x:f>
        <x:v>5985</x:v>
      </x:c>
      <x:c r="L48" s="95"/>
    </x:row>
    <x:row r="49">
      <x:c r="A49" s="96" t="str">
        <x:v>التدفق دون القيمة النهائية</x:v>
      </x:c>
      <x:c r="B49" s="95" t="n">
        <x:f>(B9-B11)*(1-'General Assumptions'!$B$7)+B11-B48-B47</x:f>
        <x:v>-8660.860000000008</x:v>
      </x:c>
      <x:c r="C49" s="95" t="n">
        <x:f>(C9-C11)*(1-'General Assumptions'!$B$7)+C11-C48-C47</x:f>
        <x:v>35398.49360000003</x:v>
      </x:c>
      <x:c r="D49" s="95" t="n">
        <x:f>(D9-D11)*(1-'General Assumptions'!$B$7)+D11-D48-D47</x:f>
        <x:v>51920.04694400006</x:v>
      </x:c>
      <x:c r="E49" s="95" t="n">
        <x:f>(E9-E11)*(1-'General Assumptions'!$B$7)+E11-E48-E47</x:f>
        <x:v>64328.23670816005</x:v>
      </x:c>
      <x:c r="F49" s="95" t="n">
        <x:f>(F9-F11)*(1-'General Assumptions'!$B$7)+F11-F48-F47</x:f>
        <x:v>74492.37265811849</x:v>
      </x:c>
      <x:c r="G49" s="95" t="n">
        <x:f>(G9-G11)*(1-'General Assumptions'!$B$7)+G11-G48-G47</x:f>
        <x:v>82173.40473930819</x:v>
      </x:c>
      <x:c r="H49" s="95" t="n">
        <x:f>(H9-H11)*(1-'General Assumptions'!$B$7)+H11-H48-H47</x:f>
        <x:v>88453.9752212609</x:v>
      </x:c>
      <x:c r="I49" s="95" t="n">
        <x:f>(I9-I11)*(1-'General Assumptions'!$B$7)+I11-I48-I47</x:f>
        <x:v>93279.6476963473</x:v>
      </x:c>
      <x:c r="J49" s="95" t="n">
        <x:f>(J9-J11)*(1-'General Assumptions'!$B$7)+J11-J48-J47</x:f>
        <x:v>96439.13187693988</x:v>
      </x:c>
      <x:c r="K49" s="95" t="n">
        <x:f>(K9-K11)*(1-'General Assumptions'!$B$7)+K11-K48-K47</x:f>
        <x:v>97731.11217649595</x:v>
      </x:c>
      <x:c r="L49" s="95"/>
    </x:row>
    <x:row r="50">
      <x:c r="A50" s="96" t="str">
        <x:v>التدفق مع القيمة النهائية</x:v>
      </x:c>
      <x:c r="B50" s="95" t="n">
        <x:f>B49</x:f>
        <x:v>-8660.860000000008</x:v>
      </x:c>
      <x:c r="C50" s="95" t="n">
        <x:f>C49</x:f>
        <x:v>35398.49360000003</x:v>
      </x:c>
      <x:c r="D50" s="95" t="n">
        <x:f>D49</x:f>
        <x:v>51920.04694400006</x:v>
      </x:c>
      <x:c r="E50" s="95" t="n">
        <x:f>E49</x:f>
        <x:v>64328.23670816005</x:v>
      </x:c>
      <x:c r="F50" s="95" t="n">
        <x:f>F49</x:f>
        <x:v>74492.37265811849</x:v>
      </x:c>
      <x:c r="G50" s="95" t="n">
        <x:f>G49</x:f>
        <x:v>82173.40473930819</x:v>
      </x:c>
      <x:c r="H50" s="95" t="n">
        <x:f>H49</x:f>
        <x:v>88453.9752212609</x:v>
      </x:c>
      <x:c r="I50" s="95" t="n">
        <x:f>I49</x:f>
        <x:v>93279.6476963473</x:v>
      </x:c>
      <x:c r="J50" s="95" t="n">
        <x:f>J49</x:f>
        <x:v>96439.13187693988</x:v>
      </x:c>
      <x:c r="K50" s="95" t="n">
        <x:f>K49+MAX(0,K9)*'Dynamic Inputs'!$B$13</x:f>
        <x:v>716602.8217151983</x:v>
      </x:c>
      <x:c r="L50" s="95"/>
    </x:row>
    <x:row r="51">
      <x:c r="A51" s="96" t="str">
        <x:v>التدفقات دون الأرض</x:v>
      </x:c>
      <x:c r="B51" s="95" t="n">
        <x:f>-('CS - CAPEX'!$B$18*(1-'Dynamic Inputs'!$B$11))</x:f>
        <x:v>-239400</x:v>
      </x:c>
      <x:c r="C51" s="95" t="n">
        <x:f>B50</x:f>
        <x:v>-8660.860000000008</x:v>
      </x:c>
      <x:c r="D51" s="95" t="n">
        <x:f>C50</x:f>
        <x:v>35398.49360000003</x:v>
      </x:c>
      <x:c r="E51" s="95" t="n">
        <x:f>D50</x:f>
        <x:v>51920.04694400006</x:v>
      </x:c>
      <x:c r="F51" s="95" t="n">
        <x:f>E50</x:f>
        <x:v>64328.23670816005</x:v>
      </x:c>
      <x:c r="G51" s="95" t="n">
        <x:f>F50</x:f>
        <x:v>74492.37265811849</x:v>
      </x:c>
      <x:c r="H51" s="95" t="n">
        <x:f>G50</x:f>
        <x:v>82173.40473930819</x:v>
      </x:c>
      <x:c r="I51" s="95" t="n">
        <x:f>H50</x:f>
        <x:v>88453.9752212609</x:v>
      </x:c>
      <x:c r="J51" s="95" t="n">
        <x:f>I50</x:f>
        <x:v>93279.6476963473</x:v>
      </x:c>
      <x:c r="K51" s="95" t="n">
        <x:f>J50</x:f>
        <x:v>96439.13187693988</x:v>
      </x:c>
      <x:c r="L51" s="95" t="n">
        <x:f>K50</x:f>
        <x:v>716602.8217151983</x:v>
      </x:c>
    </x:row>
    <x:row r="52">
      <x:c r="A52" s="96" t="str">
        <x:v>التدفقات مع الأرض</x:v>
      </x:c>
      <x:c r="B52" s="95" t="n">
        <x:f>-('CS - CAPEX'!$B$20-('CS - CAPEX'!$B$18*'Dynamic Inputs'!$B$11))</x:f>
        <x:v>-1039400</x:v>
      </x:c>
      <x:c r="C52" s="95" t="n">
        <x:f>B50</x:f>
        <x:v>-8660.860000000008</x:v>
      </x:c>
      <x:c r="D52" s="95" t="n">
        <x:f>C50</x:f>
        <x:v>35398.49360000003</x:v>
      </x:c>
      <x:c r="E52" s="95" t="n">
        <x:f>D50</x:f>
        <x:v>51920.04694400006</x:v>
      </x:c>
      <x:c r="F52" s="95" t="n">
        <x:f>E50</x:f>
        <x:v>64328.23670816005</x:v>
      </x:c>
      <x:c r="G52" s="95" t="n">
        <x:f>F50</x:f>
        <x:v>74492.37265811849</x:v>
      </x:c>
      <x:c r="H52" s="95" t="n">
        <x:f>G50</x:f>
        <x:v>82173.40473930819</x:v>
      </x:c>
      <x:c r="I52" s="95" t="n">
        <x:f>H50</x:f>
        <x:v>88453.9752212609</x:v>
      </x:c>
      <x:c r="J52" s="95" t="n">
        <x:f>I50</x:f>
        <x:v>93279.6476963473</x:v>
      </x:c>
      <x:c r="K52" s="95" t="n">
        <x:f>J50</x:f>
        <x:v>96439.13187693988</x:v>
      </x:c>
      <x:c r="L52" s="95" t="n">
        <x:f>K50</x:f>
        <x:v>716602.8217151983</x:v>
      </x:c>
    </x:row>
    <x:row r="53">
      <x:c r="A53" s="96" t="str">
        <x:v>التراكمي دون الأرض</x:v>
      </x:c>
      <x:c r="B53" s="95" t="n">
        <x:f>B51</x:f>
        <x:v>-239400</x:v>
      </x:c>
      <x:c r="C53" s="95" t="n">
        <x:f>B53+C51</x:f>
        <x:v>-248060.86000000002</x:v>
      </x:c>
      <x:c r="D53" s="95" t="n">
        <x:f>C53+D51</x:f>
        <x:v>-212662.3664</x:v>
      </x:c>
      <x:c r="E53" s="95" t="n">
        <x:f>D53+E51</x:f>
        <x:v>-160742.31945599994</x:v>
      </x:c>
      <x:c r="F53" s="95" t="n">
        <x:f>E53+F51</x:f>
        <x:v>-96414.08274783989</x:v>
      </x:c>
      <x:c r="G53" s="95" t="n">
        <x:f>F53+G51</x:f>
        <x:v>-21921.710089721397</x:v>
      </x:c>
      <x:c r="H53" s="95" t="n">
        <x:f>G53+H51</x:f>
        <x:v>60251.69464958679</x:v>
      </x:c>
      <x:c r="I53" s="95" t="n">
        <x:f>H53+I51</x:f>
        <x:v>148705.6698708477</x:v>
      </x:c>
      <x:c r="J53" s="95" t="n">
        <x:f>I53+J51</x:f>
        <x:v>241985.317567195</x:v>
      </x:c>
      <x:c r="K53" s="95" t="n">
        <x:f>J53+K51</x:f>
        <x:v>338424.44944413484</x:v>
      </x:c>
      <x:c r="L53" s="95" t="n">
        <x:f>K53+L51</x:f>
        <x:v>1055027.2711593332</x:v>
      </x:c>
    </x:row>
    <x:row r="54">
      <x:c r="A54" s="96" t="str">
        <x:v>التراكمي مع الأرض</x:v>
      </x:c>
      <x:c r="B54" s="95" t="n">
        <x:f>B52</x:f>
        <x:v>-1039400</x:v>
      </x:c>
      <x:c r="C54" s="95" t="n">
        <x:f>B54+C52</x:f>
        <x:v>-1048060.86</x:v>
      </x:c>
      <x:c r="D54" s="95" t="n">
        <x:f>C54+D52</x:f>
        <x:v>-1012662.3663999999</x:v>
      </x:c>
      <x:c r="E54" s="95" t="n">
        <x:f>D54+E52</x:f>
        <x:v>-960742.3194559999</x:v>
      </x:c>
      <x:c r="F54" s="95" t="n">
        <x:f>E54+F52</x:f>
        <x:v>-896414.0827478399</x:v>
      </x:c>
      <x:c r="G54" s="95" t="n">
        <x:f>F54+G52</x:f>
        <x:v>-821921.7100897214</x:v>
      </x:c>
      <x:c r="H54" s="95" t="n">
        <x:f>G54+H52</x:f>
        <x:v>-739748.3053504132</x:v>
      </x:c>
      <x:c r="I54" s="95" t="n">
        <x:f>H54+I52</x:f>
        <x:v>-651294.3301291523</x:v>
      </x:c>
      <x:c r="J54" s="95" t="n">
        <x:f>I54+J52</x:f>
        <x:v>-558014.682432805</x:v>
      </x:c>
      <x:c r="K54" s="95" t="n">
        <x:f>J54+K52</x:f>
        <x:v>-461575.55055586505</x:v>
      </x:c>
      <x:c r="L54" s="95" t="n">
        <x:f>K54+L52</x:f>
        <x:v>255027.2711593333</x:v>
      </x:c>
    </x:row>
  </x:sheetData>
  <x:mergeCells>
    <x:mergeCell ref="A1:L1"/>
  </x:mergeCells>
  <x:conditionalFormatting sqref="A17:F21">
    <x:cfRule type="expression" dxfId="1" priority="1">
      <x:formula>$C17&lt;0</x:formula>
    </x:cfRule>
  </x:conditionalFormatting>
  <x:pageMargins left="0.7" right="0.7" top="0.75" bottom="0.75" header="0.3" footer="0.3"/>
  <x:drawing xmlns:r="http://schemas.openxmlformats.org/officeDocument/2006/relationships" r:id="R76e024aab92b4d10"/>
</x:worksheet>
</file>

<file path=xl/worksheets/sheet7.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مدرسة ثانوية خاصة</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القيادة</x:v>
      </x:c>
      <x:c r="B4" t="str">
        <x:v>مدير مدرسة</x:v>
      </x:c>
      <x:c r="C4" s="71" t="n">
        <x:v>1</x:v>
      </x:c>
      <x:c r="D4" s="82" t="n">
        <x:v>2500</x:v>
      </x:c>
      <x:c r="E4" s="84" t="n">
        <x:f>C4*D4</x:f>
        <x:v>2500</x:v>
      </x:c>
      <x:c r="F4" s="84" t="n">
        <x:f>E4*12</x:f>
        <x:v>30000</x:v>
      </x:c>
      <x:c r="G4" s="84" t="n">
        <x:f>F4*'General Assumptions'!$B$8</x:f>
        <x:v>4275</x:v>
      </x:c>
      <x:c r="H4" s="84" t="n">
        <x:f>F4*'General Assumptions'!$B$13</x:f>
        <x:v>1350</x:v>
      </x:c>
      <x:c r="I4" s="84" t="n">
        <x:f>F4*IF(OR(A4="التشغيل",A4="المطبخ",A4="الخدمة",A4="خدمات",A4="نقل"),'General Assumptions'!$B$14,'General Assumptions'!$B$15)</x:f>
        <x:v>450</x:v>
      </x:c>
      <x:c r="J4" s="84" t="n">
        <x:f>SUM(F4:I4)</x:f>
        <x:v>36075</x:v>
      </x:c>
    </x:row>
    <x:row r="5">
      <x:c r="A5" t="str">
        <x:v>القيادة</x:v>
      </x:c>
      <x:c r="B5" t="str">
        <x:v>نائب مدير</x:v>
      </x:c>
      <x:c r="C5" s="71" t="n">
        <x:v>1</x:v>
      </x:c>
      <x:c r="D5" s="82" t="n">
        <x:v>1600</x:v>
      </x:c>
      <x:c r="E5" s="84" t="n">
        <x:f>C5*D5</x:f>
        <x:v>1600</x:v>
      </x:c>
      <x:c r="F5" s="84" t="n">
        <x:f>E5*12</x:f>
        <x:v>19200</x:v>
      </x:c>
      <x:c r="G5" s="84" t="n">
        <x:f>F5*'General Assumptions'!$B$8</x:f>
        <x:v>2735.9999999999995</x:v>
      </x:c>
      <x:c r="H5" s="84" t="n">
        <x:f>F5*'General Assumptions'!$B$13</x:f>
        <x:v>864</x:v>
      </x:c>
      <x:c r="I5" s="84" t="n">
        <x:f>F5*IF(OR(A5="التشغيل",A5="المطبخ",A5="الخدمة",A5="خدمات",A5="نقل"),'General Assumptions'!$B$14,'General Assumptions'!$B$15)</x:f>
        <x:v>288</x:v>
      </x:c>
      <x:c r="J5" s="84" t="n">
        <x:f>SUM(F5:I5)</x:f>
        <x:v>23088</x:v>
      </x:c>
    </x:row>
    <x:row r="6">
      <x:c r="A6" t="str">
        <x:v>أكاديمي</x:v>
      </x:c>
      <x:c r="B6" t="str">
        <x:v>منسق أكاديمي</x:v>
      </x:c>
      <x:c r="C6" s="71" t="n">
        <x:v>1</x:v>
      </x:c>
      <x:c r="D6" s="82" t="n">
        <x:v>1400</x:v>
      </x:c>
      <x:c r="E6" s="84" t="n">
        <x:f>C6*D6</x:f>
        <x:v>1400</x:v>
      </x:c>
      <x:c r="F6" s="84" t="n">
        <x:f>E6*12</x:f>
        <x:v>16800</x:v>
      </x:c>
      <x:c r="G6" s="84" t="n">
        <x:f>F6*'General Assumptions'!$B$8</x:f>
        <x:v>2394</x:v>
      </x:c>
      <x:c r="H6" s="84" t="n">
        <x:f>F6*'General Assumptions'!$B$13</x:f>
        <x:v>756</x:v>
      </x:c>
      <x:c r="I6" s="84" t="n">
        <x:f>F6*IF(OR(A6="التشغيل",A6="المطبخ",A6="الخدمة",A6="خدمات",A6="نقل"),'General Assumptions'!$B$14,'General Assumptions'!$B$15)</x:f>
        <x:v>252</x:v>
      </x:c>
      <x:c r="J6" s="84" t="n">
        <x:f>SUM(F6:I6)</x:f>
        <x:v>20202</x:v>
      </x:c>
    </x:row>
    <x:row r="7">
      <x:c r="A7" t="str">
        <x:v>أكاديمي</x:v>
      </x:c>
      <x:c r="B7" t="str">
        <x:v>معلم ثانوي</x:v>
      </x:c>
      <x:c r="C7" s="71" t="n">
        <x:v>20</x:v>
      </x:c>
      <x:c r="D7" s="82" t="n">
        <x:v>900</x:v>
      </x:c>
      <x:c r="E7" s="84" t="n">
        <x:f>C7*D7</x:f>
        <x:v>18000</x:v>
      </x:c>
      <x:c r="F7" s="84" t="n">
        <x:f>E7*12</x:f>
        <x:v>216000</x:v>
      </x:c>
      <x:c r="G7" s="84" t="n">
        <x:f>F7*'General Assumptions'!$B$8</x:f>
        <x:v>30779.999999999996</x:v>
      </x:c>
      <x:c r="H7" s="84" t="n">
        <x:f>F7*'General Assumptions'!$B$13</x:f>
        <x:v>9720</x:v>
      </x:c>
      <x:c r="I7" s="84" t="n">
        <x:f>F7*IF(OR(A7="التشغيل",A7="المطبخ",A7="الخدمة",A7="خدمات",A7="نقل"),'General Assumptions'!$B$14,'General Assumptions'!$B$15)</x:f>
        <x:v>3240</x:v>
      </x:c>
      <x:c r="J7" s="84" t="n">
        <x:f>SUM(F7:I7)</x:f>
        <x:v>259740</x:v>
      </x:c>
    </x:row>
    <x:row r="8">
      <x:c r="A8" t="str">
        <x:v>أكاديمي</x:v>
      </x:c>
      <x:c r="B8" t="str">
        <x:v>مرشد تربوي</x:v>
      </x:c>
      <x:c r="C8" s="71" t="n">
        <x:v>1</x:v>
      </x:c>
      <x:c r="D8" s="82" t="n">
        <x:v>800</x:v>
      </x:c>
      <x:c r="E8" s="84" t="n">
        <x:f>C8*D8</x:f>
        <x:v>800</x:v>
      </x:c>
      <x:c r="F8" s="84" t="n">
        <x:f>E8*12</x:f>
        <x:v>9600</x:v>
      </x:c>
      <x:c r="G8" s="84" t="n">
        <x:f>F8*'General Assumptions'!$B$8</x:f>
        <x:v>1367.9999999999998</x:v>
      </x:c>
      <x:c r="H8" s="84" t="n">
        <x:f>F8*'General Assumptions'!$B$13</x:f>
        <x:v>432</x:v>
      </x:c>
      <x:c r="I8" s="84" t="n">
        <x:f>F8*IF(OR(A8="التشغيل",A8="المطبخ",A8="الخدمة",A8="خدمات",A8="نقل"),'General Assumptions'!$B$14,'General Assumptions'!$B$15)</x:f>
        <x:v>144</x:v>
      </x:c>
      <x:c r="J8" s="84" t="n">
        <x:f>SUM(F8:I8)</x:f>
        <x:v>11544</x:v>
      </x:c>
    </x:row>
    <x:row r="9">
      <x:c r="A9" t="str">
        <x:v>صحي</x:v>
      </x:c>
      <x:c r="B9" t="str">
        <x:v>ممرض/ممرضة</x:v>
      </x:c>
      <x:c r="C9" s="71" t="n">
        <x:v>1</x:v>
      </x:c>
      <x:c r="D9" s="82" t="n">
        <x:v>650</x:v>
      </x:c>
      <x:c r="E9" s="84" t="n">
        <x:f>C9*D9</x:f>
        <x:v>650</x:v>
      </x:c>
      <x:c r="F9" s="84" t="n">
        <x:f>E9*12</x:f>
        <x:v>7800</x:v>
      </x:c>
      <x:c r="G9" s="84" t="n">
        <x:f>F9*'General Assumptions'!$B$8</x:f>
        <x:v>1111.5</x:v>
      </x:c>
      <x:c r="H9" s="84" t="n">
        <x:f>F9*'General Assumptions'!$B$13</x:f>
        <x:v>351</x:v>
      </x:c>
      <x:c r="I9" s="84" t="n">
        <x:f>F9*IF(OR(A9="التشغيل",A9="المطبخ",A9="الخدمة",A9="خدمات",A9="نقل"),'General Assumptions'!$B$14,'General Assumptions'!$B$15)</x:f>
        <x:v>117</x:v>
      </x:c>
      <x:c r="J9" s="84" t="n">
        <x:f>SUM(F9:I9)</x:f>
        <x:v>9379.5</x:v>
      </x:c>
    </x:row>
    <x:row r="10">
      <x:c r="A10" t="str">
        <x:v>إداري</x:v>
      </x:c>
      <x:c r="B10" t="str">
        <x:v>قبول وتسجيل وخدمة أولياء الأمور</x:v>
      </x:c>
      <x:c r="C10" s="71" t="n">
        <x:v>3</x:v>
      </x:c>
      <x:c r="D10" s="82" t="n">
        <x:v>550</x:v>
      </x:c>
      <x:c r="E10" s="84" t="n">
        <x:f>C10*D10</x:f>
        <x:v>1650</x:v>
      </x:c>
      <x:c r="F10" s="84" t="n">
        <x:f>E10*12</x:f>
        <x:v>19800</x:v>
      </x:c>
      <x:c r="G10" s="84" t="n">
        <x:f>F10*'General Assumptions'!$B$8</x:f>
        <x:v>2821.4999999999995</x:v>
      </x:c>
      <x:c r="H10" s="84" t="n">
        <x:f>F10*'General Assumptions'!$B$13</x:f>
        <x:v>891</x:v>
      </x:c>
      <x:c r="I10" s="84" t="n">
        <x:f>F10*IF(OR(A10="التشغيل",A10="المطبخ",A10="الخدمة",A10="خدمات",A10="نقل"),'General Assumptions'!$B$14,'General Assumptions'!$B$15)</x:f>
        <x:v>297</x:v>
      </x:c>
      <x:c r="J10" s="84" t="n">
        <x:f>SUM(F10:I10)</x:f>
        <x:v>23809.5</x:v>
      </x:c>
    </x:row>
    <x:row r="11">
      <x:c r="A11" t="str">
        <x:v>مالي</x:v>
      </x:c>
      <x:c r="B11" t="str">
        <x:v>مدير مالي/محاسب رئيسي</x:v>
      </x:c>
      <x:c r="C11" s="71" t="n">
        <x:v>1</x:v>
      </x:c>
      <x:c r="D11" s="82" t="n">
        <x:v>1000</x:v>
      </x:c>
      <x:c r="E11" s="84" t="n">
        <x:f>C11*D11</x:f>
        <x:v>1000</x:v>
      </x:c>
      <x:c r="F11" s="84" t="n">
        <x:f>E11*12</x:f>
        <x:v>12000</x:v>
      </x:c>
      <x:c r="G11" s="84" t="n">
        <x:f>F11*'General Assumptions'!$B$8</x:f>
        <x:v>1709.9999999999998</x:v>
      </x:c>
      <x:c r="H11" s="84" t="n">
        <x:f>F11*'General Assumptions'!$B$13</x:f>
        <x:v>540</x:v>
      </x:c>
      <x:c r="I11" s="84" t="n">
        <x:f>F11*IF(OR(A11="التشغيل",A11="المطبخ",A11="الخدمة",A11="خدمات",A11="نقل"),'General Assumptions'!$B$14,'General Assumptions'!$B$15)</x:f>
        <x:v>180</x:v>
      </x:c>
      <x:c r="J11" s="84" t="n">
        <x:f>SUM(F11:I11)</x:f>
        <x:v>14430</x:v>
      </x:c>
    </x:row>
    <x:row r="12">
      <x:c r="A12" t="str">
        <x:v>مالي</x:v>
      </x:c>
      <x:c r="B12" t="str">
        <x:v>محاسب/محصل</x:v>
      </x:c>
      <x:c r="C12" s="71" t="n">
        <x:v>1</x:v>
      </x:c>
      <x:c r="D12" s="82" t="n">
        <x:v>650</x:v>
      </x:c>
      <x:c r="E12" s="84" t="n">
        <x:f>C12*D12</x:f>
        <x:v>650</x:v>
      </x:c>
      <x:c r="F12" s="84" t="n">
        <x:f>E12*12</x:f>
        <x:v>7800</x:v>
      </x:c>
      <x:c r="G12" s="84" t="n">
        <x:f>F12*'General Assumptions'!$B$8</x:f>
        <x:v>1111.5</x:v>
      </x:c>
      <x:c r="H12" s="84" t="n">
        <x:f>F12*'General Assumptions'!$B$13</x:f>
        <x:v>351</x:v>
      </x:c>
      <x:c r="I12" s="84" t="n">
        <x:f>F12*IF(OR(A12="التشغيل",A12="المطبخ",A12="الخدمة",A12="خدمات",A12="نقل"),'General Assumptions'!$B$14,'General Assumptions'!$B$15)</x:f>
        <x:v>117</x:v>
      </x:c>
      <x:c r="J12" s="84" t="n">
        <x:f>SUM(F12:I12)</x:f>
        <x:v>9379.5</x:v>
      </x:c>
    </x:row>
    <x:row r="13">
      <x:c r="A13" t="str">
        <x:v>تقني</x:v>
      </x:c>
      <x:c r="B13" t="str">
        <x:v>مسؤول IT ونظام مدرسي</x:v>
      </x:c>
      <x:c r="C13" s="71" t="n">
        <x:v>1</x:v>
      </x:c>
      <x:c r="D13" s="82" t="n">
        <x:v>750</x:v>
      </x:c>
      <x:c r="E13" s="84" t="n">
        <x:f>C13*D13</x:f>
        <x:v>750</x:v>
      </x:c>
      <x:c r="F13" s="84" t="n">
        <x:f>E13*12</x:f>
        <x:v>9000</x:v>
      </x:c>
      <x:c r="G13" s="84" t="n">
        <x:f>F13*'General Assumptions'!$B$8</x:f>
        <x:v>1282.5</x:v>
      </x:c>
      <x:c r="H13" s="84" t="n">
        <x:f>F13*'General Assumptions'!$B$13</x:f>
        <x:v>405</x:v>
      </x:c>
      <x:c r="I13" s="84" t="n">
        <x:f>F13*IF(OR(A13="التشغيل",A13="المطبخ",A13="الخدمة",A13="خدمات",A13="نقل"),'General Assumptions'!$B$14,'General Assumptions'!$B$15)</x:f>
        <x:v>135</x:v>
      </x:c>
      <x:c r="J13" s="84" t="n">
        <x:f>SUM(F13:I13)</x:f>
        <x:v>10822.5</x:v>
      </x:c>
    </x:row>
    <x:row r="14">
      <x:c r="A14" t="str">
        <x:v>تعليمي</x:v>
      </x:c>
      <x:c r="B14" t="str">
        <x:v>أمين مكتبة</x:v>
      </x:c>
      <x:c r="C14" s="71" t="n">
        <x:v>1</x:v>
      </x:c>
      <x:c r="D14" s="82" t="n">
        <x:v>650</x:v>
      </x:c>
      <x:c r="E14" s="84" t="n">
        <x:f>C14*D14</x:f>
        <x:v>650</x:v>
      </x:c>
      <x:c r="F14" s="84" t="n">
        <x:f>E14*12</x:f>
        <x:v>7800</x:v>
      </x:c>
      <x:c r="G14" s="84" t="n">
        <x:f>F14*'General Assumptions'!$B$8</x:f>
        <x:v>1111.5</x:v>
      </x:c>
      <x:c r="H14" s="84" t="n">
        <x:f>F14*'General Assumptions'!$B$13</x:f>
        <x:v>351</x:v>
      </x:c>
      <x:c r="I14" s="84" t="n">
        <x:f>F14*IF(OR(A14="التشغيل",A14="المطبخ",A14="الخدمة",A14="خدمات",A14="نقل"),'General Assumptions'!$B$14,'General Assumptions'!$B$15)</x:f>
        <x:v>117</x:v>
      </x:c>
      <x:c r="J14" s="84" t="n">
        <x:f>SUM(F14:I14)</x:f>
        <x:v>9379.5</x:v>
      </x:c>
    </x:row>
    <x:row r="15">
      <x:c r="A15" t="str">
        <x:v>تعليمي</x:v>
      </x:c>
      <x:c r="B15" t="str">
        <x:v>فني مختبر</x:v>
      </x:c>
      <x:c r="C15" s="71" t="n">
        <x:v>2</x:v>
      </x:c>
      <x:c r="D15" s="82" t="n">
        <x:v>650</x:v>
      </x:c>
      <x:c r="E15" s="84" t="n">
        <x:f>C15*D15</x:f>
        <x:v>1300</x:v>
      </x:c>
      <x:c r="F15" s="84" t="n">
        <x:f>E15*12</x:f>
        <x:v>15600</x:v>
      </x:c>
      <x:c r="G15" s="84" t="n">
        <x:f>F15*'General Assumptions'!$B$8</x:f>
        <x:v>2223</x:v>
      </x:c>
      <x:c r="H15" s="84" t="n">
        <x:f>F15*'General Assumptions'!$B$13</x:f>
        <x:v>702</x:v>
      </x:c>
      <x:c r="I15" s="84" t="n">
        <x:f>F15*IF(OR(A15="التشغيل",A15="المطبخ",A15="الخدمة",A15="خدمات",A15="نقل"),'General Assumptions'!$B$14,'General Assumptions'!$B$15)</x:f>
        <x:v>234</x:v>
      </x:c>
      <x:c r="J15" s="84" t="n">
        <x:f>SUM(F15:I15)</x:f>
        <x:v>18759</x:v>
      </x:c>
    </x:row>
    <x:row r="16">
      <x:c r="A16" t="str">
        <x:v>إشراف</x:v>
      </x:c>
      <x:c r="B16" t="str">
        <x:v>مشرف طلاب</x:v>
      </x:c>
      <x:c r="C16" s="71" t="n">
        <x:v>4</x:v>
      </x:c>
      <x:c r="D16" s="82" t="n">
        <x:v>450</x:v>
      </x:c>
      <x:c r="E16" s="84" t="n">
        <x:f>C16*D16</x:f>
        <x:v>1800</x:v>
      </x:c>
      <x:c r="F16" s="84" t="n">
        <x:f>E16*12</x:f>
        <x:v>21600</x:v>
      </x:c>
      <x:c r="G16" s="84" t="n">
        <x:f>F16*'General Assumptions'!$B$8</x:f>
        <x:v>3077.9999999999995</x:v>
      </x:c>
      <x:c r="H16" s="84" t="n">
        <x:f>F16*'General Assumptions'!$B$13</x:f>
        <x:v>972</x:v>
      </x:c>
      <x:c r="I16" s="84" t="n">
        <x:f>F16*IF(OR(A16="التشغيل",A16="المطبخ",A16="الخدمة",A16="خدمات",A16="نقل"),'General Assumptions'!$B$14,'General Assumptions'!$B$15)</x:f>
        <x:v>324</x:v>
      </x:c>
      <x:c r="J16" s="84" t="n">
        <x:f>SUM(F16:I16)</x:f>
        <x:v>25974</x:v>
      </x:c>
    </x:row>
    <x:row r="17">
      <x:c r="A17" t="str">
        <x:v>خدمات</x:v>
      </x:c>
      <x:c r="B17" t="str">
        <x:v>صيانة ومرافق</x:v>
      </x:c>
      <x:c r="C17" s="71" t="n">
        <x:v>3</x:v>
      </x:c>
      <x:c r="D17" s="82" t="n">
        <x:v>400</x:v>
      </x:c>
      <x:c r="E17" s="84" t="n">
        <x:f>C17*D17</x:f>
        <x:v>1200</x:v>
      </x:c>
      <x:c r="F17" s="84" t="n">
        <x:f>E17*12</x:f>
        <x:v>14400</x:v>
      </x:c>
      <x:c r="G17" s="84" t="n">
        <x:f>F17*'General Assumptions'!$B$8</x:f>
        <x:v>2052</x:v>
      </x:c>
      <x:c r="H17" s="84" t="n">
        <x:f>F17*'General Assumptions'!$B$13</x:f>
        <x:v>648</x:v>
      </x:c>
      <x:c r="I17" s="84" t="n">
        <x:f>F17*IF(OR(A17="التشغيل",A17="المطبخ",A17="الخدمة",A17="خدمات",A17="نقل"),'General Assumptions'!$B$14,'General Assumptions'!$B$15)</x:f>
        <x:v>504.00000000000006</x:v>
      </x:c>
      <x:c r="J17" s="84" t="n">
        <x:f>SUM(F17:I17)</x:f>
        <x:v>17604</x:v>
      </x:c>
    </x:row>
    <x:row r="18">
      <x:c r="A18" t="str">
        <x:v>خدمات</x:v>
      </x:c>
      <x:c r="B18" t="str">
        <x:v>حارس أمن</x:v>
      </x:c>
      <x:c r="C18" s="71" t="n">
        <x:v>3</x:v>
      </x:c>
      <x:c r="D18" s="82" t="n">
        <x:v>350</x:v>
      </x:c>
      <x:c r="E18" s="84" t="n">
        <x:f>C18*D18</x:f>
        <x:v>1050</x:v>
      </x:c>
      <x:c r="F18" s="84" t="n">
        <x:f>E18*12</x:f>
        <x:v>12600</x:v>
      </x:c>
      <x:c r="G18" s="84" t="n">
        <x:f>F18*'General Assumptions'!$B$8</x:f>
        <x:v>1795.4999999999998</x:v>
      </x:c>
      <x:c r="H18" s="84" t="n">
        <x:f>F18*'General Assumptions'!$B$13</x:f>
        <x:v>567</x:v>
      </x:c>
      <x:c r="I18" s="84" t="n">
        <x:f>F18*IF(OR(A18="التشغيل",A18="المطبخ",A18="الخدمة",A18="خدمات",A18="نقل"),'General Assumptions'!$B$14,'General Assumptions'!$B$15)</x:f>
        <x:v>441.00000000000006</x:v>
      </x:c>
      <x:c r="J18" s="84" t="n">
        <x:f>SUM(F18:I18)</x:f>
        <x:v>15403.5</x:v>
      </x:c>
    </x:row>
    <x:row r="19">
      <x:c r="A19" t="str">
        <x:v>خدمات</x:v>
      </x:c>
      <x:c r="B19" t="str">
        <x:v>عامل نظافة</x:v>
      </x:c>
      <x:c r="C19" s="71" t="n">
        <x:v>5</x:v>
      </x:c>
      <x:c r="D19" s="82" t="n">
        <x:v>320</x:v>
      </x:c>
      <x:c r="E19" s="84" t="n">
        <x:f>C19*D19</x:f>
        <x:v>1600</x:v>
      </x:c>
      <x:c r="F19" s="84" t="n">
        <x:f>E19*12</x:f>
        <x:v>19200</x:v>
      </x:c>
      <x:c r="G19" s="84" t="n">
        <x:f>F19*'General Assumptions'!$B$8</x:f>
        <x:v>2735.9999999999995</x:v>
      </x:c>
      <x:c r="H19" s="84" t="n">
        <x:f>F19*'General Assumptions'!$B$13</x:f>
        <x:v>864</x:v>
      </x:c>
      <x:c r="I19" s="84" t="n">
        <x:f>F19*IF(OR(A19="التشغيل",A19="المطبخ",A19="الخدمة",A19="خدمات",A19="نقل"),'General Assumptions'!$B$14,'General Assumptions'!$B$15)</x:f>
        <x:v>672.0000000000001</x:v>
      </x:c>
      <x:c r="J19" s="84" t="n">
        <x:f>SUM(F19:I19)</x:f>
        <x:v>23472</x:v>
      </x:c>
    </x:row>
    <x:row r="20">
      <x:c r="A20" t="str">
        <x:v>نقل</x:v>
      </x:c>
      <x:c r="B20" t="str">
        <x:v>سائق حافلة</x:v>
      </x:c>
      <x:c r="C20" s="71" t="n">
        <x:v>4</x:v>
      </x:c>
      <x:c r="D20" s="82" t="n">
        <x:v>500</x:v>
      </x:c>
      <x:c r="E20" s="84" t="n">
        <x:f>C20*D20</x:f>
        <x:v>2000</x:v>
      </x:c>
      <x:c r="F20" s="84" t="n">
        <x:f>E20*12</x:f>
        <x:v>24000</x:v>
      </x:c>
      <x:c r="G20" s="84" t="n">
        <x:f>F20*'General Assumptions'!$B$8</x:f>
        <x:v>3419.9999999999995</x:v>
      </x:c>
      <x:c r="H20" s="84" t="n">
        <x:f>F20*'General Assumptions'!$B$13</x:f>
        <x:v>1080</x:v>
      </x:c>
      <x:c r="I20" s="84" t="n">
        <x:f>F20*IF(OR(A20="التشغيل",A20="المطبخ",A20="الخدمة",A20="خدمات",A20="نقل"),'General Assumptions'!$B$14,'General Assumptions'!$B$15)</x:f>
        <x:v>840.0000000000001</x:v>
      </x:c>
      <x:c r="J20" s="84" t="n">
        <x:f>SUM(F20:I20)</x:f>
        <x:v>29340</x:v>
      </x:c>
    </x:row>
    <x:row r="21">
      <x:c r="A21" t="str">
        <x:v>نقل</x:v>
      </x:c>
      <x:c r="B21" t="str">
        <x:v>مرافقة حافلة</x:v>
      </x:c>
      <x:c r="C21" s="71" t="n">
        <x:v>4</x:v>
      </x:c>
      <x:c r="D21" s="82" t="n">
        <x:v>350</x:v>
      </x:c>
      <x:c r="E21" s="84" t="n">
        <x:f>C21*D21</x:f>
        <x:v>1400</x:v>
      </x:c>
      <x:c r="F21" s="84" t="n">
        <x:f>E21*12</x:f>
        <x:v>16800</x:v>
      </x:c>
      <x:c r="G21" s="84" t="n">
        <x:f>F21*'General Assumptions'!$B$8</x:f>
        <x:v>2394</x:v>
      </x:c>
      <x:c r="H21" s="84" t="n">
        <x:f>F21*'General Assumptions'!$B$13</x:f>
        <x:v>756</x:v>
      </x:c>
      <x:c r="I21" s="84" t="n">
        <x:f>F21*IF(OR(A21="التشغيل",A21="المطبخ",A21="الخدمة",A21="خدمات",A21="نقل"),'General Assumptions'!$B$14,'General Assumptions'!$B$15)</x:f>
        <x:v>588</x:v>
      </x:c>
      <x:c r="J21" s="84" t="n">
        <x:f>SUM(F21:I21)</x:f>
        <x:v>20538</x:v>
      </x:c>
    </x:row>
    <x:row r="22">
      <x:c r="A22" s="52" t="str">
        <x:v>إجمالي تكلفة العمالة السنوية</x:v>
      </x:c>
      <x:c r="B22" s="52"/>
      <x:c r="C22" s="52"/>
      <x:c r="D22" s="52"/>
      <x:c r="E22" s="52"/>
      <x:c r="F22" s="52"/>
      <x:c r="G22" s="52"/>
      <x:c r="H22" s="52"/>
      <x:c r="I22" s="52"/>
      <x:c r="J22" s="85" t="n">
        <x:f>SUM(J4:J21)</x:f>
        <x:v>578940</x:v>
      </x:c>
    </x:row>
    <x:row r="24">
      <x:c r="A24"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24" s="57"/>
      <x:c r="C24" s="57"/>
      <x:c r="D24" s="57"/>
      <x:c r="E24" s="57"/>
      <x:c r="F24" s="57"/>
      <x:c r="G24" s="57"/>
      <x:c r="H24" s="57"/>
      <x:c r="I24" s="57"/>
      <x:c r="J24" s="57"/>
    </x:row>
    <x:row r="25">
      <x:c r="A25" s="57"/>
      <x:c r="B25" s="57"/>
      <x:c r="C25" s="57"/>
      <x:c r="D25" s="57"/>
      <x:c r="E25" s="57"/>
      <x:c r="F25" s="57"/>
      <x:c r="G25" s="57"/>
      <x:c r="H25" s="57"/>
      <x:c r="I25" s="57"/>
      <x:c r="J25" s="57"/>
    </x:row>
    <x:row r="26">
      <x:c r="A26" s="57"/>
      <x:c r="B26" s="57"/>
      <x:c r="C26" s="57"/>
      <x:c r="D26" s="57"/>
      <x:c r="E26" s="57"/>
      <x:c r="F26" s="57"/>
      <x:c r="G26" s="57"/>
      <x:c r="H26" s="57"/>
      <x:c r="I26" s="57"/>
      <x:c r="J26" s="57"/>
    </x:row>
  </x:sheetData>
  <x:mergeCells>
    <x:mergeCell ref="A1:J1"/>
    <x:mergeCell ref="A22:I22"/>
    <x:mergeCell ref="A24:J26"/>
  </x:mergeCells>
  <x:dataValidations count="2">
    <x:dataValidation operator="between" sqref="C4:C21">
      <x:formula1>0</x:formula1>
      <x:formula2>200</x:formula2>
    </x:dataValidation>
    <x:dataValidation type="decimal" operator="between" sqref="D4:D21">
      <x:formula1>0</x:formula1>
      <x:formula2>10000</x:formula2>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مدرسة ثانوية خاصة</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قانونية وتعليمية وتصميم</x:v>
      </x:c>
      <x:c r="B4" s="82" t="n">
        <x:v>115000</x:v>
      </x:c>
      <x:c r="C4" s="86" t="n">
        <x:f>IFERROR(B4/$B$19,0)</x:f>
        <x:v>0.03993055555555555</x:v>
      </x:c>
      <x:c r="D4" t="str">
        <x:v>استثماري</x:v>
      </x:c>
      <x:c r="E4" t="str"/>
    </x:row>
    <x:row r="5">
      <x:c r="A5" t="str">
        <x:v>أعمال إنشائية وهيكل</x:v>
      </x:c>
      <x:c r="B5" s="82" t="n">
        <x:v>1120000</x:v>
      </x:c>
      <x:c r="C5" s="86" t="n">
        <x:f>IFERROR(B5/$B$19,0)</x:f>
        <x:v>0.3888888888888889</x:v>
      </x:c>
      <x:c r="D5" t="str">
        <x:v>استثماري</x:v>
      </x:c>
      <x:c r="E5" t="str"/>
    </x:row>
    <x:row r="6">
      <x:c r="A6" t="str">
        <x:v>تشطيبات تعليمية</x:v>
      </x:c>
      <x:c r="B6" s="82" t="n">
        <x:v>310000</x:v>
      </x:c>
      <x:c r="C6" s="86" t="n">
        <x:f>IFERROR(B6/$B$19,0)</x:f>
        <x:v>0.1076388888888889</x:v>
      </x:c>
      <x:c r="D6" t="str">
        <x:v>استثماري</x:v>
      </x:c>
      <x:c r="E6" t="str"/>
    </x:row>
    <x:row r="7">
      <x:c r="A7" t="str">
        <x:v>مختبرات علوم وحاسوب</x:v>
      </x:c>
      <x:c r="B7" s="82" t="n">
        <x:v>155000</x:v>
      </x:c>
      <x:c r="C7" s="86" t="n">
        <x:f>IFERROR(B7/$B$19,0)</x:f>
        <x:v>0.05381944444444445</x:v>
      </x:c>
      <x:c r="D7" t="str">
        <x:v>استثماري</x:v>
      </x:c>
      <x:c r="E7" t="str"/>
    </x:row>
    <x:row r="8">
      <x:c r="A8" t="str">
        <x:v>أثاث صفوف وإدارة</x:v>
      </x:c>
      <x:c r="B8" s="82" t="n">
        <x:v>145000</x:v>
      </x:c>
      <x:c r="C8" s="86" t="n">
        <x:f>IFERROR(B8/$B$19,0)</x:f>
        <x:v>0.050347222222222224</x:v>
      </x:c>
      <x:c r="D8" t="str">
        <x:v>استثماري</x:v>
      </x:c>
      <x:c r="E8" t="str"/>
    </x:row>
    <x:row r="9">
      <x:c r="A9" t="str">
        <x:v>أنظمة تكييف وتهوية</x:v>
      </x:c>
      <x:c r="B9" s="82" t="n">
        <x:v>110000</x:v>
      </x:c>
      <x:c r="C9" s="86" t="n">
        <x:f>IFERROR(B9/$B$19,0)</x:f>
        <x:v>0.03819444444444445</x:v>
      </x:c>
      <x:c r="D9" t="str">
        <x:v>استثماري</x:v>
      </x:c>
      <x:c r="E9" t="str"/>
    </x:row>
    <x:row r="10">
      <x:c r="A10" t="str">
        <x:v>كهرباء وسباكة ومصاعد</x:v>
      </x:c>
      <x:c r="B10" s="82" t="n">
        <x:v>125000</x:v>
      </x:c>
      <x:c r="C10" s="86" t="n">
        <x:f>IFERROR(B10/$B$19,0)</x:f>
        <x:v>0.043402777777777776</x:v>
      </x:c>
      <x:c r="D10" t="str">
        <x:v>استثماري</x:v>
      </x:c>
      <x:c r="E10" t="str"/>
    </x:row>
    <x:row r="11">
      <x:c r="A11" t="str">
        <x:v>سلامة وإطفاء ومخارج</x:v>
      </x:c>
      <x:c r="B11" s="82" t="n">
        <x:v>58000</x:v>
      </x:c>
      <x:c r="C11" s="86" t="n">
        <x:f>IFERROR(B11/$B$19,0)</x:f>
        <x:v>0.02013888888888889</x:v>
      </x:c>
      <x:c r="D11" t="str">
        <x:v>استثماري</x:v>
      </x:c>
      <x:c r="E11" t="str"/>
    </x:row>
    <x:row r="12">
      <x:c r="A12" t="str">
        <x:v>أنظمة مدرسة وIT وكاميرات</x:v>
      </x:c>
      <x:c r="B12" s="82" t="n">
        <x:v>45000</x:v>
      </x:c>
      <x:c r="C12" s="86" t="n">
        <x:f>IFERROR(B12/$B$19,0)</x:f>
        <x:v>0.015625</x:v>
      </x:c>
      <x:c r="D12" t="str">
        <x:v>استثماري</x:v>
      </x:c>
      <x:c r="E12" t="str"/>
    </x:row>
    <x:row r="13">
      <x:c r="A13" t="str">
        <x:v>مكتبة ووسائل تعليمية</x:v>
      </x:c>
      <x:c r="B13" s="82" t="n">
        <x:v>42000</x:v>
      </x:c>
      <x:c r="C13" s="86" t="n">
        <x:f>IFERROR(B13/$B$19,0)</x:f>
        <x:v>0.014583333333333334</x:v>
      </x:c>
      <x:c r="D13" t="str">
        <x:v>استثماري</x:v>
      </x:c>
      <x:c r="E13" t="str"/>
    </x:row>
    <x:row r="14">
      <x:c r="A14" t="str">
        <x:v>ساحات وأعمال خارجية</x:v>
      </x:c>
      <x:c r="B14" s="82" t="n">
        <x:v>65000</x:v>
      </x:c>
      <x:c r="C14" s="86" t="n">
        <x:f>IFERROR(B14/$B$19,0)</x:f>
        <x:v>0.022569444444444444</x:v>
      </x:c>
      <x:c r="D14" t="str">
        <x:v>استثماري</x:v>
      </x:c>
      <x:c r="E14" t="str"/>
    </x:row>
    <x:row r="15">
      <x:c r="A15" t="str">
        <x:v>حافلات مدرسية أولية</x:v>
      </x:c>
      <x:c r="B15" s="82" t="n">
        <x:v>210000</x:v>
      </x:c>
      <x:c r="C15" s="86" t="n">
        <x:f>IFERROR(B15/$B$19,0)</x:f>
        <x:v>0.07291666666666667</x:v>
      </x:c>
      <x:c r="D15" t="str">
        <x:v>استثماري</x:v>
      </x:c>
      <x:c r="E15" t="str"/>
    </x:row>
    <x:row r="16">
      <x:c r="A16" t="str">
        <x:v>تسويق وتوظيف قبل الافتتاح</x:v>
      </x:c>
      <x:c r="B16" s="82" t="n">
        <x:v>45000</x:v>
      </x:c>
      <x:c r="C16" s="86" t="n">
        <x:f>IFERROR(B16/$B$19,0)</x:f>
        <x:v>0.015625</x:v>
      </x:c>
      <x:c r="D16" t="str">
        <x:v>استثماري</x:v>
      </x:c>
      <x:c r="E16" t="str"/>
    </x:row>
    <x:row r="17">
      <x:c r="A17" t="str">
        <x:v>رأس مال عامل افتتاحي</x:v>
      </x:c>
      <x:c r="B17" s="82" t="n">
        <x:v>165000</x:v>
      </x:c>
      <x:c r="C17" s="86" t="n">
        <x:f>IFERROR(B17/$B$19,0)</x:f>
        <x:v>0.057291666666666664</x:v>
      </x:c>
      <x:c r="D17" t="str">
        <x:v>تشغيلي افتتاحي</x:v>
      </x:c>
      <x:c r="E17" t="str"/>
    </x:row>
    <x:row r="18">
      <x:c r="A18" t="str">
        <x:v>احتياطي تجاوز تكاليف</x:v>
      </x:c>
      <x:c r="B18" s="82" t="n">
        <x:v>170000</x:v>
      </x:c>
      <x:c r="C18" s="86" t="n">
        <x:f>IFERROR(B18/$B$19,0)</x:f>
        <x:v>0.059027777777777776</x:v>
      </x:c>
      <x:c r="D18" t="str">
        <x:v>استثماري</x:v>
      </x:c>
      <x:c r="E18" t="str"/>
    </x:row>
    <x:row r="19">
      <x:c r="A19" s="52" t="str">
        <x:v>الإجمالي دون الأرض</x:v>
      </x:c>
      <x:c r="B19" s="54" t="n">
        <x:f>SUM(B4:B18)</x:f>
        <x:v>2880000</x:v>
      </x:c>
      <x:c r="C19" s="52"/>
      <x:c r="D19" s="52"/>
      <x:c r="E19" s="52"/>
    </x:row>
    <x:row r="20">
      <x:c r="A20" t="str">
        <x:v>القيمة الاقتصادية للأرض</x:v>
      </x:c>
      <x:c r="B20" s="87" t="n">
        <x:f>'General Assumptions'!$B$4</x:f>
        <x:v>800000</x:v>
      </x:c>
    </x:row>
    <x:row r="21">
      <x:c r="A21" s="16" t="str">
        <x:v>إجمالي رأس المال الاقتصادي</x:v>
      </x:c>
      <x:c r="B21" s="88" t="n">
        <x:f>SUM(B19:B20)</x:f>
        <x:v>3680000</x:v>
      </x:c>
      <x:c r="C21" s="16"/>
      <x:c r="D21" s="16"/>
      <x:c r="E21" s="16"/>
    </x:row>
  </x:sheetData>
  <x:mergeCells>
    <x:mergeCell ref="A1:E1"/>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مدرسة ثانوية خاصة</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ووقود</x:v>
      </x:c>
      <x:c r="B4" s="84" t="n">
        <x:f>C4/12</x:f>
        <x:v>6500</x:v>
      </x:c>
      <x:c r="C4" s="82" t="n">
        <x:v>78000</x:v>
      </x:c>
      <x:c r="D4" t="str">
        <x:v>التضخم/الاستخدام</x:v>
      </x:c>
      <x:c r="E4" t="str">
        <x:v>شبه ثابت</x:v>
      </x:c>
      <x:c r="F4" t="str"/>
    </x:row>
    <x:row r="5">
      <x:c r="A5" t="str">
        <x:v>صيانة المبنى والمختبرات</x:v>
      </x:c>
      <x:c r="B5" s="84" t="n">
        <x:f>C5/12</x:f>
        <x:v>3500</x:v>
      </x:c>
      <x:c r="C5" s="82" t="n">
        <x:v>42000</x:v>
      </x:c>
      <x:c r="D5" t="str">
        <x:v>التضخم/الاستخدام</x:v>
      </x:c>
      <x:c r="E5" t="str">
        <x:v>شبه ثابت</x:v>
      </x:c>
      <x:c r="F5" t="str"/>
    </x:row>
    <x:row r="6">
      <x:c r="A6" t="str">
        <x:v>تسويق وقبول</x:v>
      </x:c>
      <x:c r="B6" s="84" t="n">
        <x:f>C6/12</x:f>
        <x:v>4000</x:v>
      </x:c>
      <x:c r="C6" s="82" t="n">
        <x:v>48000</x:v>
      </x:c>
      <x:c r="D6" t="str">
        <x:v>التضخم/الاستخدام</x:v>
      </x:c>
      <x:c r="E6" t="str">
        <x:v>شبه ثابت</x:v>
      </x:c>
      <x:c r="F6" t="str"/>
    </x:row>
    <x:row r="7">
      <x:c r="A7" t="str">
        <x:v>تأمينات</x:v>
      </x:c>
      <x:c r="B7" s="84" t="n">
        <x:f>C7/12</x:f>
        <x:v>1833.3333333333333</x:v>
      </x:c>
      <x:c r="C7" s="82" t="n">
        <x:v>22000</x:v>
      </x:c>
      <x:c r="D7" t="str">
        <x:v>التضخم/الاستخدام</x:v>
      </x:c>
      <x:c r="E7" t="str">
        <x:v>شبه ثابت</x:v>
      </x:c>
      <x:c r="F7" t="str"/>
    </x:row>
    <x:row r="8">
      <x:c r="A8" t="str">
        <x:v>مواد تعليمية وقرطاسية</x:v>
      </x:c>
      <x:c r="B8" s="84" t="n">
        <x:f>C8/12</x:f>
        <x:v>4583.333333333333</x:v>
      </x:c>
      <x:c r="C8" s="82" t="n">
        <x:v>55000</x:v>
      </x:c>
      <x:c r="D8" t="str">
        <x:v>التضخم/الاستخدام</x:v>
      </x:c>
      <x:c r="E8" t="str">
        <x:v>شبه ثابت</x:v>
      </x:c>
      <x:c r="F8" t="str"/>
    </x:row>
    <x:row r="9">
      <x:c r="A9" t="str">
        <x:v>أنظمة وبرمجيات وإنترنت</x:v>
      </x:c>
      <x:c r="B9" s="84" t="n">
        <x:f>C9/12</x:f>
        <x:v>1500</x:v>
      </x:c>
      <x:c r="C9" s="82" t="n">
        <x:v>18000</x:v>
      </x:c>
      <x:c r="D9" t="str">
        <x:v>التضخم/الاستخدام</x:v>
      </x:c>
      <x:c r="E9" t="str">
        <x:v>شبه ثابت</x:v>
      </x:c>
      <x:c r="F9" t="str"/>
    </x:row>
    <x:row r="10">
      <x:c r="A10" t="str">
        <x:v>تدريب واعتماد أكاديمي</x:v>
      </x:c>
      <x:c r="B10" s="84" t="n">
        <x:f>C10/12</x:f>
        <x:v>1833.3333333333333</x:v>
      </x:c>
      <x:c r="C10" s="82" t="n">
        <x:v>22000</x:v>
      </x:c>
      <x:c r="D10" t="str">
        <x:v>التضخم/الاستخدام</x:v>
      </x:c>
      <x:c r="E10" t="str">
        <x:v>شبه ثابت</x:v>
      </x:c>
      <x:c r="F10" t="str"/>
    </x:row>
    <x:row r="11">
      <x:c r="A11" t="str">
        <x:v>نقل وصيانة حافلات</x:v>
      </x:c>
      <x:c r="B11" s="84" t="n">
        <x:f>C11/12</x:f>
        <x:v>6000</x:v>
      </x:c>
      <x:c r="C11" s="82" t="n">
        <x:v>72000</x:v>
      </x:c>
      <x:c r="D11" t="str">
        <x:v>التضخم/الاستخدام</x:v>
      </x:c>
      <x:c r="E11" t="str">
        <x:v>شبه ثابت</x:v>
      </x:c>
      <x:c r="F11" t="str"/>
    </x:row>
    <x:row r="12">
      <x:c r="A12" t="str">
        <x:v>أمن ونظافة إضافية</x:v>
      </x:c>
      <x:c r="B12" s="84" t="n">
        <x:f>C12/12</x:f>
        <x:v>1666.6666666666667</x:v>
      </x:c>
      <x:c r="C12" s="82" t="n">
        <x:v>20000</x:v>
      </x:c>
      <x:c r="D12" t="str">
        <x:v>التضخم/الاستخدام</x:v>
      </x:c>
      <x:c r="E12" t="str">
        <x:v>شبه ثابت</x:v>
      </x:c>
      <x:c r="F12" t="str"/>
    </x:row>
    <x:row r="13">
      <x:c r="A13" t="str">
        <x:v>خدمات قانونية وتدقيق</x:v>
      </x:c>
      <x:c r="B13" s="84" t="n">
        <x:f>C13/12</x:f>
        <x:v>1250</x:v>
      </x:c>
      <x:c r="C13" s="82" t="n">
        <x:v>15000</x:v>
      </x:c>
      <x:c r="D13" t="str">
        <x:v>التضخم/الاستخدام</x:v>
      </x:c>
      <x:c r="E13" t="str">
        <x:v>شبه ثابت</x:v>
      </x:c>
      <x:c r="F13" t="str"/>
    </x:row>
    <x:row r="14">
      <x:c r="A14" t="str">
        <x:v>أنشطة وفعاليات</x:v>
      </x:c>
      <x:c r="B14" s="84" t="n">
        <x:f>C14/12</x:f>
        <x:v>3000</x:v>
      </x:c>
      <x:c r="C14" s="82" t="n">
        <x:v>36000</x:v>
      </x:c>
      <x:c r="D14" t="str">
        <x:v>التضخم/الاستخدام</x:v>
      </x:c>
      <x:c r="E14" t="str">
        <x:v>شبه ثابت</x:v>
      </x:c>
      <x:c r="F14" t="str"/>
    </x:row>
    <x:row r="15">
      <x:c r="A15" t="str">
        <x:v>احتياطي تشغيلي</x:v>
      </x:c>
      <x:c r="B15" s="84" t="n">
        <x:f>C15/12</x:f>
        <x:v>2500</x:v>
      </x:c>
      <x:c r="C15" s="82" t="n">
        <x:v>30000</x:v>
      </x:c>
      <x:c r="D15" t="str">
        <x:v>التضخم/الاستخدام</x:v>
      </x:c>
      <x:c r="E15" t="str">
        <x:v>شبه ثابت</x:v>
      </x:c>
      <x:c r="F15" t="str"/>
    </x:row>
    <x:row r="16">
      <x:c r="A16" s="52" t="str">
        <x:v>إجمالي غير العمالة</x:v>
      </x:c>
      <x:c r="B16" s="54"/>
      <x:c r="C16" s="54" t="n">
        <x:f>SUM(C4:C15)</x:f>
        <x:v>458000</x:v>
      </x:c>
      <x:c r="D16" s="52"/>
      <x:c r="E16" s="52"/>
      <x:c r="F16" s="52"/>
    </x:row>
    <x:row r="17">
      <x:c r="A17" t="str">
        <x:v>إجمالي العمالة</x:v>
      </x:c>
      <x:c r="B17" s="24"/>
      <x:c r="C17" s="87" t="n">
        <x:f>'School - Payroll'!J22</x:f>
        <x:v>578940</x:v>
      </x:c>
    </x:row>
    <x:row r="18">
      <x:c r="A18" s="16" t="str">
        <x:v>إجمالي التشغيل قبل تكلفة المبيعات</x:v>
      </x:c>
      <x:c r="B18" s="60"/>
      <x:c r="C18" s="60" t="n">
        <x:f>SUM(C16:C17)</x:f>
        <x:v>1036940</x:v>
      </x:c>
      <x:c r="D18" s="16"/>
      <x:c r="E18" s="16"/>
      <x:c r="F18" s="16"/>
    </x:row>
  </x:sheetData>
  <x:mergeCells>
    <x:mergeCell ref="A1:F1"/>
    <x:mergeCell ref="A16:B16"/>
    <x:mergeCell ref="A17:B17"/>
    <x:mergeCell ref="A18:B18"/>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مدرسة ثانوية خاصة</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Inputs'!$B$22*'Dynamic Inputs'!$B$23*(1-'Dynamic Inputs'!$B$24)+'Dynamic Inputs'!$B$25*'Dynamic Inputs'!$B$26+'Dynamic Inputs'!$B$22*'Dynamic Inputs'!$B$27</x:f>
        <x:v>819350</x:v>
      </x:c>
      <x:c r="C4" s="84" t="n">
        <x:f>B4*(1+'Dynamic Inputs'!$E$22)</x:f>
        <x:v>983220</x:v>
      </x:c>
      <x:c r="D4" s="84" t="n">
        <x:f>C4*(1+'Dynamic Inputs'!$F$22)</x:f>
        <x:v>1140535.2</x:v>
      </x:c>
      <x:c r="E4" s="84" t="n">
        <x:f>D4*(1+'Dynamic Inputs'!$G$22)</x:f>
        <x:v>1277399.424</x:v>
      </x:c>
      <x:c r="F4" s="84" t="n">
        <x:f>E4*(1+'Dynamic Inputs'!$H$22)</x:f>
        <x:v>1379591.37792</x:v>
      </x:c>
      <x:c r="G4" s="84" t="n">
        <x:f>F4*(1+'Dynamic Inputs'!$I$22)</x:f>
        <x:v>1462366.8605952002</x:v>
      </x:c>
      <x:c r="H4" s="84" t="n">
        <x:f>G4*(1+'Dynamic Inputs'!$J$22)</x:f>
        <x:v>1535485.2036249603</x:v>
      </x:c>
      <x:c r="I4" s="84" t="n">
        <x:f>H4*(1+'Dynamic Inputs'!$K$22)</x:f>
        <x:v>1596904.6117699586</x:v>
      </x:c>
      <x:c r="J4" s="84" t="n">
        <x:f>I4*(1+'Dynamic Inputs'!$L$22)</x:f>
        <x:v>1652796.2731819071</x:v>
      </x:c>
      <x:c r="K4" s="84" t="n">
        <x:f>J4*(1+'Dynamic Inputs'!$M$22)</x:f>
        <x:v>1702380.1613773643</x:v>
      </x:c>
    </x:row>
    <x:row r="5">
      <x:c r="A5" t="str">
        <x:v>تكلفة المواد/الخدمة</x:v>
      </x:c>
      <x:c r="B5" s="84" t="n">
        <x:f>B4*'Dynamic Inputs'!$B$28</x:f>
        <x:v>65548</x:v>
      </x:c>
      <x:c r="C5" s="84" t="n">
        <x:f>C4*'Dynamic Inputs'!$B$28</x:f>
        <x:v>78657.6</x:v>
      </x:c>
      <x:c r="D5" s="84" t="n">
        <x:f>D4*'Dynamic Inputs'!$B$28</x:f>
        <x:v>91242.81599999999</x:v>
      </x:c>
      <x:c r="E5" s="84" t="n">
        <x:f>E4*'Dynamic Inputs'!$B$28</x:f>
        <x:v>102191.95392000001</x:v>
      </x:c>
      <x:c r="F5" s="84" t="n">
        <x:f>F4*'Dynamic Inputs'!$B$28</x:f>
        <x:v>110367.31023360002</x:v>
      </x:c>
      <x:c r="G5" s="84" t="n">
        <x:f>G4*'Dynamic Inputs'!$B$28</x:f>
        <x:v>116989.34884761601</x:v>
      </x:c>
      <x:c r="H5" s="84" t="n">
        <x:f>H4*'Dynamic Inputs'!$B$28</x:f>
        <x:v>122838.81628999683</x:v>
      </x:c>
      <x:c r="I5" s="84" t="n">
        <x:f>I4*'Dynamic Inputs'!$B$28</x:f>
        <x:v>127752.3689415967</x:v>
      </x:c>
      <x:c r="J5" s="84" t="n">
        <x:f>J4*'Dynamic Inputs'!$B$28</x:f>
        <x:v>132223.70185455258</x:v>
      </x:c>
      <x:c r="K5" s="84" t="n">
        <x:f>K4*'Dynamic Inputs'!$B$28</x:f>
        <x:v>136190.41291018916</x:v>
      </x:c>
    </x:row>
    <x:row r="6">
      <x:c r="A6" t="str">
        <x:v>مجمل الربح</x:v>
      </x:c>
      <x:c r="B6" s="84" t="n">
        <x:f>B4-B5</x:f>
        <x:v>753802</x:v>
      </x:c>
      <x:c r="C6" s="84" t="n">
        <x:f>C4-C5</x:f>
        <x:v>904562.4</x:v>
      </x:c>
      <x:c r="D6" s="84" t="n">
        <x:f>D4-D5</x:f>
        <x:v>1049292.384</x:v>
      </x:c>
      <x:c r="E6" s="84" t="n">
        <x:f>E4-E5</x:f>
        <x:v>1175207.47008</x:v>
      </x:c>
      <x:c r="F6" s="84" t="n">
        <x:f>F4-F5</x:f>
        <x:v>1269224.0676864001</x:v>
      </x:c>
      <x:c r="G6" s="84" t="n">
        <x:f>G4-G5</x:f>
        <x:v>1345377.5117475842</x:v>
      </x:c>
      <x:c r="H6" s="84" t="n">
        <x:f>H4-H5</x:f>
        <x:v>1412646.3873349635</x:v>
      </x:c>
      <x:c r="I6" s="84" t="n">
        <x:f>I4-I5</x:f>
        <x:v>1469152.242828362</x:v>
      </x:c>
      <x:c r="J6" s="84" t="n">
        <x:f>J4-J5</x:f>
        <x:v>1520572.5713273545</x:v>
      </x:c>
      <x:c r="K6" s="84" t="n">
        <x:f>K4-K5</x:f>
        <x:v>1566189.748467175</x:v>
      </x:c>
    </x:row>
    <x:row r="7">
      <x:c r="A7" t="str">
        <x:v>تكلفة العمالة</x:v>
      </x:c>
      <x:c r="B7" s="84" t="n">
        <x:f>'School - Payroll'!J22</x:f>
        <x:v>578940</x:v>
      </x:c>
      <x:c r="C7" s="84" t="n">
        <x:f>B7*(1+'General Assumptions'!$B$9)</x:f>
        <x:v>602097.6</x:v>
      </x:c>
      <x:c r="D7" s="84" t="n">
        <x:f>C7*(1+'General Assumptions'!$B$9)</x:f>
        <x:v>626181.504</x:v>
      </x:c>
      <x:c r="E7" s="84" t="n">
        <x:f>D7*(1+'General Assumptions'!$B$9)</x:f>
        <x:v>651228.76416</x:v>
      </x:c>
      <x:c r="F7" s="84" t="n">
        <x:f>E7*(1+'General Assumptions'!$B$9)</x:f>
        <x:v>677277.9147264</x:v>
      </x:c>
      <x:c r="G7" s="84" t="n">
        <x:f>F7*(1+'General Assumptions'!$B$9)</x:f>
        <x:v>704369.031315456</x:v>
      </x:c>
      <x:c r="H7" s="84" t="n">
        <x:f>G7*(1+'General Assumptions'!$B$9)</x:f>
        <x:v>732543.7925680743</x:v>
      </x:c>
      <x:c r="I7" s="84" t="n">
        <x:f>H7*(1+'General Assumptions'!$B$9)</x:f>
        <x:v>761845.5442707973</x:v>
      </x:c>
      <x:c r="J7" s="84" t="n">
        <x:f>I7*(1+'General Assumptions'!$B$9)</x:f>
        <x:v>792319.3660416292</x:v>
      </x:c>
      <x:c r="K7" s="84" t="n">
        <x:f>J7*(1+'General Assumptions'!$B$9)</x:f>
        <x:v>824012.1406832944</x:v>
      </x:c>
    </x:row>
    <x:row r="8">
      <x:c r="A8" t="str">
        <x:v>OPEX غير العمالة</x:v>
      </x:c>
      <x:c r="B8" s="84" t="n">
        <x:f>'School - OPEX'!C16</x:f>
        <x:v>458000</x:v>
      </x:c>
      <x:c r="C8" s="84" t="n">
        <x:f>B8*(1+'General Assumptions'!$B$10)</x:f>
        <x:v>471740</x:v>
      </x:c>
      <x:c r="D8" s="84" t="n">
        <x:f>C8*(1+'General Assumptions'!$B$10)</x:f>
        <x:v>485892.2</x:v>
      </x:c>
      <x:c r="E8" s="84" t="n">
        <x:f>D8*(1+'General Assumptions'!$B$10)</x:f>
        <x:v>500468.966</x:v>
      </x:c>
      <x:c r="F8" s="84" t="n">
        <x:f>E8*(1+'General Assumptions'!$B$10)</x:f>
        <x:v>515483.03498000005</x:v>
      </x:c>
      <x:c r="G8" s="84" t="n">
        <x:f>F8*(1+'General Assumptions'!$B$10)</x:f>
        <x:v>530947.5260294001</x:v>
      </x:c>
      <x:c r="H8" s="84" t="n">
        <x:f>G8*(1+'General Assumptions'!$B$10)</x:f>
        <x:v>546875.9518102821</x:v>
      </x:c>
      <x:c r="I8" s="84" t="n">
        <x:f>H8*(1+'General Assumptions'!$B$10)</x:f>
        <x:v>563282.2303645905</x:v>
      </x:c>
      <x:c r="J8" s="84" t="n">
        <x:f>I8*(1+'General Assumptions'!$B$10)</x:f>
        <x:v>580180.6972755282</x:v>
      </x:c>
      <x:c r="K8" s="84" t="n">
        <x:f>J8*(1+'General Assumptions'!$B$10)</x:f>
        <x:v>597586.118193794</x:v>
      </x:c>
    </x:row>
    <x:row r="9">
      <x:c r="A9" t="str">
        <x:v>EBITDA</x:v>
      </x:c>
      <x:c r="B9" s="84" t="n">
        <x:f>B6-B7-B8</x:f>
        <x:v>-283138</x:v>
      </x:c>
      <x:c r="C9" s="84" t="n">
        <x:f>C6-C7-C8</x:f>
        <x:v>-169275.19999999995</x:v>
      </x:c>
      <x:c r="D9" s="84" t="n">
        <x:f>D6-D7-D8</x:f>
        <x:v>-62781.31999999989</x:v>
      </x:c>
      <x:c r="E9" s="84" t="n">
        <x:f>E6-E7-E8</x:f>
        <x:v>23509.73992000008</x:v>
      </x:c>
      <x:c r="F9" s="84" t="n">
        <x:f>F6-F7-F8</x:f>
        <x:v>76463.11798000004</x:v>
      </x:c>
      <x:c r="G9" s="84" t="n">
        <x:f>G6-G7-G8</x:f>
        <x:v>110060.95440272812</x:v>
      </x:c>
      <x:c r="H9" s="84" t="n">
        <x:f>H6-H7-H8</x:f>
        <x:v>133226.64295660716</x:v>
      </x:c>
      <x:c r="I9" s="84" t="n">
        <x:f>I6-I7-I8</x:f>
        <x:v>144024.4681929741</x:v>
      </x:c>
      <x:c r="J9" s="84" t="n">
        <x:f>J6-J7-J8</x:f>
        <x:v>148072.50801019708</x:v>
      </x:c>
      <x:c r="K9" s="84" t="n">
        <x:f>K6-K7-K8</x:f>
        <x:v>144591.48959008662</x:v>
      </x:c>
    </x:row>
    <x:row r="10">
      <x:c r="A10" t="str">
        <x:v>هامش EBITDA</x:v>
      </x:c>
      <x:c r="B10" s="86" t="n">
        <x:f>IFERROR(B9/B4,0)</x:f>
        <x:v>-0.34556416671752</x:v>
      </x:c>
      <x:c r="C10" s="86" t="n">
        <x:f>IFERROR(C9/C4,0)</x:f>
        <x:v>-0.1721641138300685</x:v>
      </x:c>
      <x:c r="D10" s="86" t="n">
        <x:f>IFERROR(D9/D4,0)</x:f>
        <x:v>-0.055045490923910013</x:v>
      </x:c>
      <x:c r="E10" s="86" t="n">
        <x:f>IFERROR(E9/E4,0)</x:f>
        <x:v>0.018404376484203015</x:v>
      </x:c>
      <x:c r="F10" s="86" t="n">
        <x:f>IFERROR(F9/F4,0)</x:f>
        <x:v>0.05542446785604222</x:v>
      </x:c>
      <x:c r="G10" s="86" t="n">
        <x:f>IFERROR(G9/G4,0)</x:f>
        <x:v>0.07526220496950542</x:v>
      </x:c>
      <x:c r="H10" s="86" t="n">
        <x:f>IFERROR(H9/H4,0)</x:f>
        <x:v>0.08676517536091317</x:v>
      </x:c>
      <x:c r="I10" s="86" t="n">
        <x:f>IFERROR(I9/I4,0)</x:f>
        <x:v>0.0901897753512916</x:v>
      </x:c>
      <x:c r="J10" s="86" t="n">
        <x:f>IFERROR(J9/J4,0)</x:f>
        <x:v>0.08958908633375179</x:v>
      </x:c>
      <x:c r="K10" s="86" t="n">
        <x:f>IFERROR(K9/K4,0)</x:f>
        <x:v>0.08493490048256926</x:v>
      </x:c>
    </x:row>
    <x:row r="11">
      <x:c r="A11" t="str">
        <x:v>الاستهلاك</x:v>
      </x:c>
      <x:c r="B11" s="84" t="n">
        <x:f>'School - CAPEX'!B19*'General Assumptions'!$B$19</x:f>
        <x:v>216000</x:v>
      </x:c>
      <x:c r="C11" s="84" t="n">
        <x:f>'School - CAPEX'!B19*'General Assumptions'!$B$19</x:f>
        <x:v>216000</x:v>
      </x:c>
      <x:c r="D11" s="84" t="n">
        <x:f>'School - CAPEX'!B19*'General Assumptions'!$B$19</x:f>
        <x:v>216000</x:v>
      </x:c>
      <x:c r="E11" s="84" t="n">
        <x:f>'School - CAPEX'!B19*'General Assumptions'!$B$19</x:f>
        <x:v>216000</x:v>
      </x:c>
      <x:c r="F11" s="84" t="n">
        <x:f>'School - CAPEX'!B19*'General Assumptions'!$B$19</x:f>
        <x:v>216000</x:v>
      </x:c>
      <x:c r="G11" s="84" t="n">
        <x:f>'School - CAPEX'!B19*'General Assumptions'!$B$19</x:f>
        <x:v>216000</x:v>
      </x:c>
      <x:c r="H11" s="84" t="n">
        <x:f>'School - CAPEX'!B19*'General Assumptions'!$B$19</x:f>
        <x:v>216000</x:v>
      </x:c>
      <x:c r="I11" s="84" t="n">
        <x:f>'School - CAPEX'!B19*'General Assumptions'!$B$19</x:f>
        <x:v>216000</x:v>
      </x:c>
      <x:c r="J11" s="84" t="n">
        <x:f>'School - CAPEX'!B19*'General Assumptions'!$B$19</x:f>
        <x:v>216000</x:v>
      </x:c>
      <x:c r="K11" s="84" t="n">
        <x:f>'School - CAPEX'!B19*'General Assumptions'!$B$19</x:f>
        <x:v>216000</x:v>
      </x:c>
    </x:row>
    <x:row r="12">
      <x:c r="A12" t="str">
        <x:v>صافي الربح</x:v>
      </x:c>
      <x:c r="B12" s="84" t="n">
        <x:f>B9-B11-B44-B45</x:f>
        <x:v>-589858</x:v>
      </x:c>
      <x:c r="C12" s="84" t="n">
        <x:f>C9-C11-C44-C45</x:f>
        <x:v>-466923.19999999995</x:v>
      </x:c>
      <x:c r="D12" s="84" t="n">
        <x:f>D9-D11-D44-D45</x:f>
        <x:v>-351357.3199999999</x:v>
      </x:c>
      <x:c r="E12" s="84" t="n">
        <x:f>E9-E11-E44-E45</x:f>
        <x:v>-255994.26007999992</x:v>
      </x:c>
      <x:c r="F12" s="84" t="n">
        <x:f>F9-F11-F44-F45</x:f>
        <x:v>-193968.88201999996</x:v>
      </x:c>
      <x:c r="G12" s="84" t="n">
        <x:f>G9-G11-G44-G45</x:f>
        <x:v>-151299.04559727188</x:v>
      </x:c>
      <x:c r="H12" s="84" t="n">
        <x:f>H9-H11-H44-H45</x:f>
        <x:v>-119061.35704339284</x:v>
      </x:c>
      <x:c r="I12" s="84" t="n">
        <x:f>I9-I11-I44-I45</x:f>
        <x:v>-99191.5318070259</x:v>
      </x:c>
      <x:c r="J12" s="84" t="n">
        <x:f>J9-J11-J44-J45</x:f>
        <x:v>-86071.49198980292</x:v>
      </x:c>
      <x:c r="K12" s="84" t="n">
        <x:f>K9-K11-K44-K45</x:f>
        <x:v>-80480.51040991338</x:v>
      </x:c>
    </x:row>
    <x:row r="13">
      <x:c r="A13" t="str">
        <x:v>التدفق النقدي الحر</x:v>
      </x:c>
      <x:c r="B13" s="84" t="n">
        <x:f>B49</x:f>
        <x:v>-300251.9</x:v>
      </x:c>
      <x:c r="C13" s="84" t="n">
        <x:f>C49</x:f>
        <x:v>-150168.45999999996</x:v>
      </x:c>
      <x:c r="D13" s="84" t="n">
        <x:f>D49</x:f>
        <x:v>-64383.42399999991</x:v>
      </x:c>
      <x:c r="E13" s="84" t="n">
        <x:f>E49</x:f>
        <x:v>6490.011776000043</x:v>
      </x:c>
      <x:c r="F13" s="84" t="n">
        <x:f>F49</x:f>
        <x:v>51973.21853120001</x:v>
      </x:c>
      <x:c r="G13" s="84" t="n">
        <x:f>G49</x:f>
        <x:v>80598.97008141446</x:v>
      </x:c>
      <x:c r="H13" s="84" t="n">
        <x:f>H49</x:f>
        <x:v>100000.66349260736</x:v>
      </x:c>
      <x:c r="I13" s="84" t="n">
        <x:f>I49</x:f>
        <x:v>109691.82782132941</x:v>
      </x:c>
      <x:c r="J13" s="84" t="n">
        <x:f>J49</x:f>
        <x:v>113427.75688108231</x:v>
      </x:c>
      <x:c r="K13" s="84" t="n">
        <x:f>K49</x:f>
        <x:v>111210.64173447815</x:v>
      </x:c>
    </x:row>
    <x:row r="14">
      <x:c r="A14" t="str">
        <x:v>DSCR</x:v>
      </x:c>
      <x:c r="B14" s="89" t="n">
        <x:f>IF(1&lt;='Dynamic Inputs'!$B$30,IFERROR((B9-B45)/(('School - CAPEX'!$B$19*'Dynamic Inputs'!$B$29)*'General Assumptions'!$B$6/(1-(1+'General Assumptions'!$B$6)^(-'Dynamic Inputs'!$B$30))),0),0)</x:f>
        <x:v>-1.802661474395596</x:v>
      </x:c>
      <x:c r="C14" s="89" t="n">
        <x:f>IF(2&lt;='Dynamic Inputs'!$B$30,IFERROR((C9-C45)/(('School - CAPEX'!$B$19*'Dynamic Inputs'!$B$29)*'General Assumptions'!$B$6/(1-(1+'General Assumptions'!$B$6)^(-'Dynamic Inputs'!$B$30))),0),0)</x:f>
        <x:v>-1.0777284631897142</x:v>
      </x:c>
      <x:c r="D14" s="89" t="n">
        <x:f>IF(3&lt;='Dynamic Inputs'!$B$30,IFERROR((D9-D45)/(('School - CAPEX'!$B$19*'Dynamic Inputs'!$B$29)*'General Assumptions'!$B$6/(1-(1+'General Assumptions'!$B$6)^(-'Dynamic Inputs'!$B$30))),0),0)</x:f>
        <x:v>-0.3997113311378251</x:v>
      </x:c>
      <x:c r="E14" s="89" t="n">
        <x:f>IF(4&lt;='Dynamic Inputs'!$B$30,IFERROR((E9-E45)/(('School - CAPEX'!$B$19*'Dynamic Inputs'!$B$29)*'General Assumptions'!$B$6/(1-(1+'General Assumptions'!$B$6)^(-'Dynamic Inputs'!$B$30))),0),0)</x:f>
        <x:v>0.1496800232637242</x:v>
      </x:c>
      <x:c r="F14" s="89" t="n">
        <x:f>IF(5&lt;='Dynamic Inputs'!$B$30,IFERROR((F9-F45)/(('School - CAPEX'!$B$19*'Dynamic Inputs'!$B$29)*'General Assumptions'!$B$6/(1-(1+'General Assumptions'!$B$6)^(-'Dynamic Inputs'!$B$30))),0),0)</x:f>
        <x:v>0.48681956146723954</x:v>
      </x:c>
      <x:c r="G14" s="89" t="n">
        <x:f>IF(6&lt;='Dynamic Inputs'!$B$30,IFERROR((G9-G45)/(('School - CAPEX'!$B$19*'Dynamic Inputs'!$B$29)*'General Assumptions'!$B$6/(1-(1+'General Assumptions'!$B$6)^(-'Dynamic Inputs'!$B$30))),0),0)</x:f>
        <x:v>0.7007277099400587</x:v>
      </x:c>
      <x:c r="H14" s="89" t="n">
        <x:f>IF(7&lt;='Dynamic Inputs'!$B$30,IFERROR((H9-H45)/(('School - CAPEX'!$B$19*'Dynamic Inputs'!$B$29)*'General Assumptions'!$B$6/(1-(1+'General Assumptions'!$B$6)^(-'Dynamic Inputs'!$B$30))),0),0)</x:f>
        <x:v>0.8482172531448732</x:v>
      </x:c>
      <x:c r="I14" s="89" t="n">
        <x:f>IF(8&lt;='Dynamic Inputs'!$B$30,IFERROR((I9-I45)/(('School - CAPEX'!$B$19*'Dynamic Inputs'!$B$29)*'General Assumptions'!$B$6/(1-(1+'General Assumptions'!$B$6)^(-'Dynamic Inputs'!$B$30))),0),0)</x:f>
        <x:v>0.916964025251956</x:v>
      </x:c>
      <x:c r="J14" s="89" t="n">
        <x:f>IF(9&lt;='Dynamic Inputs'!$B$30,IFERROR((J9-J45)/(('School - CAPEX'!$B$19*'Dynamic Inputs'!$B$29)*'General Assumptions'!$B$6/(1-(1+'General Assumptions'!$B$6)^(-'Dynamic Inputs'!$B$30))),0),0)</x:f>
        <x:v>0.9427367771444156</x:v>
      </x:c>
      <x:c r="K14" s="89" t="n">
        <x:f>IF(10&lt;='Dynamic Inputs'!$B$30,IFERROR((K9-K45)/(('School - CAPEX'!$B$19*'Dynamic Inputs'!$B$29)*'General Assumptions'!$B$6/(1-(1+'General Assumptions'!$B$6)^(-'Dynamic Inputs'!$B$30))),0),0)</x:f>
        <x:v>0.9205740939383658</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'School - CAPEX'!B19</x:f>
        <x:v>2880000</x:v>
      </x:c>
      <x:c r="C17" s="24" t="n">
        <x:f>'School - CAPEX'!B21</x:f>
        <x:v>3680000</x:v>
      </x:c>
      <x:c r="D17" t="str">
        <x:v>غير موصى بها على الدونم بصيغتها الحالية</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-1718802.6192701578</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-2518802.6192701575</x:v>
      </x:c>
      <x:c r="D18" t="str">
        <x:v>يُقبل إذا موجب بعد الأرض</x:v>
      </x:c>
      <x:c r="E18" s="24" t="n">
        <x:v>0</x:v>
      </x:c>
      <x:c r="F18" t="str"/>
    </x:row>
    <x:row r="19">
      <x:c r="A19" t="str">
        <x:v>IRR</x:v>
      </x:c>
      <x:c r="B19" s="26" t="n">
        <x:f>IRR(B51:L51)</x:f>
        <x:v>-0.044868062574702244</x:v>
      </x:c>
      <x:c r="C19" s="26" t="n">
        <x:f>IRR(B52:L52)</x:f>
        <x:v>-0.07448427627808372</x:v>
      </x:c>
      <x:c r="D19" t="str">
        <x:v>يُقارن بمعدل الخصم</x:v>
      </x:c>
      <x:c r="E19" s="26" t="n">
        <x:v>0.115</x:v>
      </x:c>
      <x:c r="F19" t="str"/>
    </x:row>
    <x:row r="20">
      <x:c r="A20" t="str">
        <x:v>فترة الاسترداد</x:v>
      </x:c>
      <x:c r="B20" t="n">
        <x:f>COUNTIF(B53:L53,"&lt;0")</x:f>
        <x:v>11</x:v>
      </x:c>
      <x:c r="C20" t="n">
        <x:f>COUNTIF(B54:L54,"&lt;0")</x:f>
        <x:v>11</x:v>
      </x:c>
      <x:c r="D20" t="str">
        <x:v>الأقصر أفضل</x:v>
      </x:c>
      <x:c r="E20" t="n">
        <x:v>10</x:v>
      </x:c>
      <x:c r="F20" t="str">
        <x:v>سنة</x:v>
      </x:c>
    </x:row>
    <x:row r="21">
      <x:c r="A21" t="str">
        <x:v>أدنى DSCR</x:v>
      </x:c>
      <x:c r="B21" s="62" t="n">
        <x:f>MIN(B14:INDEX(B14:K14,1,'Dynamic Inputs'!$B$30))</x:f>
        <x:v>-1.802661474395596</x:v>
      </x:c>
      <x:c r="C21" s="62" t="n">
        <x:f>B21</x:f>
        <x:v>-1.802661474395596</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MAX(0,'School - CAPEX'!$B$19*'Dynamic Inputs'!$B$29*(1-(1-1)/'Dynamic Inputs'!$B$30))</x:f>
        <x:v>1007999.9999999999</x:v>
      </x:c>
      <x:c r="C43" s="95" t="n">
        <x:f>MAX(0,'School - CAPEX'!$B$19*'Dynamic Inputs'!$B$29*(1-(2-1)/'Dynamic Inputs'!$B$30))</x:f>
        <x:v>907199.9999999999</x:v>
      </x:c>
      <x:c r="D43" s="95" t="n">
        <x:f>MAX(0,'School - CAPEX'!$B$19*'Dynamic Inputs'!$B$29*(1-(3-1)/'Dynamic Inputs'!$B$30))</x:f>
        <x:v>806400</x:v>
      </x:c>
      <x:c r="E43" s="95" t="n">
        <x:f>MAX(0,'School - CAPEX'!$B$19*'Dynamic Inputs'!$B$29*(1-(4-1)/'Dynamic Inputs'!$B$30))</x:f>
        <x:v>705599.9999999999</x:v>
      </x:c>
      <x:c r="F43" s="95" t="n">
        <x:f>MAX(0,'School - CAPEX'!$B$19*'Dynamic Inputs'!$B$29*(1-(5-1)/'Dynamic Inputs'!$B$30))</x:f>
        <x:v>604799.9999999999</x:v>
      </x:c>
      <x:c r="G43" s="95" t="n">
        <x:f>MAX(0,'School - CAPEX'!$B$19*'Dynamic Inputs'!$B$29*(1-(6-1)/'Dynamic Inputs'!$B$30))</x:f>
        <x:v>503999.99999999994</x:v>
      </x:c>
      <x:c r="H43" s="95" t="n">
        <x:f>MAX(0,'School - CAPEX'!$B$19*'Dynamic Inputs'!$B$29*(1-(7-1)/'Dynamic Inputs'!$B$30))</x:f>
        <x:v>403200</x:v>
      </x:c>
      <x:c r="I43" s="95" t="n">
        <x:f>MAX(0,'School - CAPEX'!$B$19*'Dynamic Inputs'!$B$29*(1-(8-1)/'Dynamic Inputs'!$B$30))</x:f>
        <x:v>302400</x:v>
      </x:c>
      <x:c r="J43" s="95" t="n">
        <x:f>MAX(0,'School - CAPEX'!$B$19*'Dynamic Inputs'!$B$29*(1-(9-1)/'Dynamic Inputs'!$B$30))</x:f>
        <x:v>201599.99999999994</x:v>
      </x:c>
      <x:c r="K43" s="95" t="n">
        <x:f>MAX(0,'School - CAPEX'!$B$19*'Dynamic Inputs'!$B$29*(1-(10-1)/'Dynamic Inputs'!$B$30))</x:f>
        <x:v>100799.99999999997</x:v>
      </x:c>
      <x:c r="L43" s="95"/>
    </x:row>
    <x:row r="44">
      <x:c r="A44" s="96" t="str">
        <x:v>الفائدة</x:v>
      </x:c>
      <x:c r="B44" s="95" t="n">
        <x:f>IF(1&lt;='Dynamic Inputs'!$B$30,B43*'General Assumptions'!$B$6,0)</x:f>
        <x:v>90719.99999999999</x:v>
      </x:c>
      <x:c r="C44" s="95" t="n">
        <x:f>IF(2&lt;='Dynamic Inputs'!$B$30,C43*'General Assumptions'!$B$6,0)</x:f>
        <x:v>81647.99999999999</x:v>
      </x:c>
      <x:c r="D44" s="95" t="n">
        <x:f>IF(3&lt;='Dynamic Inputs'!$B$30,D43*'General Assumptions'!$B$6,0)</x:f>
        <x:v>72576</x:v>
      </x:c>
      <x:c r="E44" s="95" t="n">
        <x:f>IF(4&lt;='Dynamic Inputs'!$B$30,E43*'General Assumptions'!$B$6,0)</x:f>
        <x:v>63503.999999999985</x:v>
      </x:c>
      <x:c r="F44" s="95" t="n">
        <x:f>IF(5&lt;='Dynamic Inputs'!$B$30,F43*'General Assumptions'!$B$6,0)</x:f>
        <x:v>54431.999999999985</x:v>
      </x:c>
      <x:c r="G44" s="95" t="n">
        <x:f>IF(6&lt;='Dynamic Inputs'!$B$30,G43*'General Assumptions'!$B$6,0)</x:f>
        <x:v>45359.99999999999</x:v>
      </x:c>
      <x:c r="H44" s="95" t="n">
        <x:f>IF(7&lt;='Dynamic Inputs'!$B$30,H43*'General Assumptions'!$B$6,0)</x:f>
        <x:v>36288</x:v>
      </x:c>
      <x:c r="I44" s="95" t="n">
        <x:f>IF(8&lt;='Dynamic Inputs'!$B$30,I43*'General Assumptions'!$B$6,0)</x:f>
        <x:v>27216</x:v>
      </x:c>
      <x:c r="J44" s="95" t="n">
        <x:f>IF(9&lt;='Dynamic Inputs'!$B$30,J43*'General Assumptions'!$B$6,0)</x:f>
        <x:v>18143.999999999993</x:v>
      </x:c>
      <x:c r="K44" s="95" t="n">
        <x:f>IF(10&lt;='Dynamic Inputs'!$B$30,K43*'General Assumptions'!$B$6,0)</x:f>
        <x:v>9071.999999999996</x:v>
      </x:c>
      <x:c r="L44" s="95"/>
    </x:row>
    <x:row r="45">
      <x:c r="A45" s="96" t="str">
        <x:v>الضريبة</x:v>
      </x:c>
      <x:c r="B45" s="95" t="n">
        <x:f>MAX(0,B9-B11-B44)*'General Assumptions'!$B$7</x:f>
        <x:v>0</x:v>
      </x:c>
      <x:c r="C45" s="95" t="n">
        <x:f>MAX(0,C9-C11-C44)*'General Assumptions'!$B$7</x:f>
        <x:v>0</x:v>
      </x:c>
      <x:c r="D45" s="95" t="n">
        <x:f>MAX(0,D9-D11-D44)*'General Assumptions'!$B$7</x:f>
        <x:v>0</x:v>
      </x:c>
      <x:c r="E45" s="95" t="n">
        <x:f>MAX(0,E9-E11-E44)*'General Assumptions'!$B$7</x:f>
        <x:v>0</x:v>
      </x:c>
      <x:c r="F45" s="95" t="n">
        <x:f>MAX(0,F9-F11-F44)*'General Assumptions'!$B$7</x:f>
        <x:v>0</x:v>
      </x:c>
      <x:c r="G45" s="95" t="n">
        <x:f>MAX(0,G9-G11-G44)*'General Assumptions'!$B$7</x:f>
        <x:v>0</x:v>
      </x:c>
      <x:c r="H45" s="95" t="n">
        <x:f>MAX(0,H9-H11-H44)*'General Assumptions'!$B$7</x:f>
        <x:v>0</x:v>
      </x:c>
      <x:c r="I45" s="95" t="n">
        <x:f>MAX(0,I9-I11-I44)*'General Assumptions'!$B$7</x:f>
        <x:v>0</x:v>
      </x:c>
      <x:c r="J45" s="95" t="n">
        <x:f>MAX(0,J9-J11-J44)*'General Assumptions'!$B$7</x:f>
        <x:v>0</x:v>
      </x:c>
      <x:c r="K45" s="95" t="n">
        <x:f>MAX(0,K9-K11-K44)*'General Assumptions'!$B$7</x:f>
        <x:v>0</x:v>
      </x:c>
      <x:c r="L45" s="95"/>
    </x:row>
    <x:row r="46">
      <x:c r="A46" s="96" t="str">
        <x:v>رأس المال العامل</x:v>
      </x:c>
      <x:c r="B46" s="95" t="n">
        <x:f>B4*'General Assumptions'!$B$17</x:f>
        <x:v>73741.5</x:v>
      </x:c>
      <x:c r="C46" s="95" t="n">
        <x:f>C4*'General Assumptions'!$B$17</x:f>
        <x:v>88489.8</x:v>
      </x:c>
      <x:c r="D46" s="95" t="n">
        <x:f>D4*'General Assumptions'!$B$17</x:f>
        <x:v>102648.16799999999</x:v>
      </x:c>
      <x:c r="E46" s="95" t="n">
        <x:f>E4*'General Assumptions'!$B$17</x:f>
        <x:v>114965.94816</x:v>
      </x:c>
      <x:c r="F46" s="95" t="n">
        <x:f>F4*'General Assumptions'!$B$17</x:f>
        <x:v>124163.22401280001</x:v>
      </x:c>
      <x:c r="G46" s="95" t="n">
        <x:f>G4*'General Assumptions'!$B$17</x:f>
        <x:v>131613.01745356803</x:v>
      </x:c>
      <x:c r="H46" s="95" t="n">
        <x:f>H4*'General Assumptions'!$B$17</x:f>
        <x:v>138193.6683262464</x:v>
      </x:c>
      <x:c r="I46" s="95" t="n">
        <x:f>I4*'General Assumptions'!$B$17</x:f>
        <x:v>143721.41505929627</x:v>
      </x:c>
      <x:c r="J46" s="95" t="n">
        <x:f>J4*'General Assumptions'!$B$17</x:f>
        <x:v>148751.66458637163</x:v>
      </x:c>
      <x:c r="K46" s="95" t="n">
        <x:f>K4*'General Assumptions'!$B$17</x:f>
        <x:v>153214.2145239628</x:v>
      </x:c>
      <x:c r="L46" s="95"/>
    </x:row>
    <x:row r="47">
      <x:c r="A47" s="96" t="str">
        <x:v>التغير في رأس المال العامل</x:v>
      </x:c>
      <x:c r="B47" s="95" t="n">
        <x:f>B46</x:f>
        <x:v>73741.5</x:v>
      </x:c>
      <x:c r="C47" s="95" t="n">
        <x:f>C46-B46</x:f>
        <x:v>14748.300000000003</x:v>
      </x:c>
      <x:c r="D47" s="95" t="n">
        <x:f>D46-C46</x:f>
        <x:v>14158.367999999988</x:v>
      </x:c>
      <x:c r="E47" s="95" t="n">
        <x:f>E46-D46</x:f>
        <x:v>12317.78016000001</x:v>
      </x:c>
      <x:c r="F47" s="95" t="n">
        <x:f>F46-E46</x:f>
        <x:v>9197.275852800012</x:v>
      </x:c>
      <x:c r="G47" s="95" t="n">
        <x:f>G46-F46</x:f>
        <x:v>7449.793440768015</x:v>
      </x:c>
      <x:c r="H47" s="95" t="n">
        <x:f>H46-G46</x:f>
        <x:v>6580.6508726783795</x:v>
      </x:c>
      <x:c r="I47" s="95" t="n">
        <x:f>I46-H46</x:f>
        <x:v>5527.746733049862</x:v>
      </x:c>
      <x:c r="J47" s="95" t="n">
        <x:f>J46-I46</x:f>
        <x:v>5030.249527075357</x:v>
      </x:c>
      <x:c r="K47" s="95" t="n">
        <x:f>K46-J46</x:f>
        <x:v>4462.54993759116</x:v>
      </x:c>
      <x:c r="L47" s="95"/>
    </x:row>
    <x:row r="48">
      <x:c r="A48" s="96" t="str">
        <x:v>الصيانة الرأسمالية</x:v>
      </x:c>
      <x:c r="B48" s="95" t="n">
        <x:f>'School - CAPEX'!$B$19*'General Assumptions'!$B$18</x:f>
        <x:v>43200</x:v>
      </x:c>
      <x:c r="C48" s="95" t="n">
        <x:f>'School - CAPEX'!$B$19*'General Assumptions'!$B$18</x:f>
        <x:v>43200</x:v>
      </x:c>
      <x:c r="D48" s="95" t="n">
        <x:f>'School - CAPEX'!$B$19*'General Assumptions'!$B$18</x:f>
        <x:v>43200</x:v>
      </x:c>
      <x:c r="E48" s="95" t="n">
        <x:f>'School - CAPEX'!$B$19*'General Assumptions'!$B$18</x:f>
        <x:v>43200</x:v>
      </x:c>
      <x:c r="F48" s="95" t="n">
        <x:f>'School - CAPEX'!$B$19*'General Assumptions'!$B$18</x:f>
        <x:v>43200</x:v>
      </x:c>
      <x:c r="G48" s="95" t="n">
        <x:f>'School - CAPEX'!$B$19*'General Assumptions'!$B$18</x:f>
        <x:v>43200</x:v>
      </x:c>
      <x:c r="H48" s="95" t="n">
        <x:f>'School - CAPEX'!$B$19*'General Assumptions'!$B$18</x:f>
        <x:v>43200</x:v>
      </x:c>
      <x:c r="I48" s="95" t="n">
        <x:f>'School - CAPEX'!$B$19*'General Assumptions'!$B$18</x:f>
        <x:v>43200</x:v>
      </x:c>
      <x:c r="J48" s="95" t="n">
        <x:f>'School - CAPEX'!$B$19*'General Assumptions'!$B$18</x:f>
        <x:v>43200</x:v>
      </x:c>
      <x:c r="K48" s="95" t="n">
        <x:f>'School - CAPEX'!$B$19*'General Assumptions'!$B$18</x:f>
        <x:v>43200</x:v>
      </x:c>
      <x:c r="L48" s="95"/>
    </x:row>
    <x:row r="49">
      <x:c r="A49" s="96" t="str">
        <x:v>التدفق دون القيمة النهائية</x:v>
      </x:c>
      <x:c r="B49" s="95" t="n">
        <x:f>(B9-B11)*(1-'General Assumptions'!$B$7)+B11-B48-B47</x:f>
        <x:v>-300251.9</x:v>
      </x:c>
      <x:c r="C49" s="95" t="n">
        <x:f>(C9-C11)*(1-'General Assumptions'!$B$7)+C11-C48-C47</x:f>
        <x:v>-150168.45999999996</x:v>
      </x:c>
      <x:c r="D49" s="95" t="n">
        <x:f>(D9-D11)*(1-'General Assumptions'!$B$7)+D11-D48-D47</x:f>
        <x:v>-64383.42399999991</x:v>
      </x:c>
      <x:c r="E49" s="95" t="n">
        <x:f>(E9-E11)*(1-'General Assumptions'!$B$7)+E11-E48-E47</x:f>
        <x:v>6490.011776000043</x:v>
      </x:c>
      <x:c r="F49" s="95" t="n">
        <x:f>(F9-F11)*(1-'General Assumptions'!$B$7)+F11-F48-F47</x:f>
        <x:v>51973.21853120001</x:v>
      </x:c>
      <x:c r="G49" s="95" t="n">
        <x:f>(G9-G11)*(1-'General Assumptions'!$B$7)+G11-G48-G47</x:f>
        <x:v>80598.97008141446</x:v>
      </x:c>
      <x:c r="H49" s="95" t="n">
        <x:f>(H9-H11)*(1-'General Assumptions'!$B$7)+H11-H48-H47</x:f>
        <x:v>100000.66349260736</x:v>
      </x:c>
      <x:c r="I49" s="95" t="n">
        <x:f>(I9-I11)*(1-'General Assumptions'!$B$7)+I11-I48-I47</x:f>
        <x:v>109691.82782132941</x:v>
      </x:c>
      <x:c r="J49" s="95" t="n">
        <x:f>(J9-J11)*(1-'General Assumptions'!$B$7)+J11-J48-J47</x:f>
        <x:v>113427.75688108231</x:v>
      </x:c>
      <x:c r="K49" s="95" t="n">
        <x:f>(K9-K11)*(1-'General Assumptions'!$B$7)+K11-K48-K47</x:f>
        <x:v>111210.64173447815</x:v>
      </x:c>
      <x:c r="L49" s="95"/>
    </x:row>
    <x:row r="50">
      <x:c r="A50" s="96" t="str">
        <x:v>التدفق مع القيمة النهائية</x:v>
      </x:c>
      <x:c r="B50" s="95" t="n">
        <x:f>B49</x:f>
        <x:v>-300251.9</x:v>
      </x:c>
      <x:c r="C50" s="95" t="n">
        <x:f>C49</x:f>
        <x:v>-150168.45999999996</x:v>
      </x:c>
      <x:c r="D50" s="95" t="n">
        <x:f>D49</x:f>
        <x:v>-64383.42399999991</x:v>
      </x:c>
      <x:c r="E50" s="95" t="n">
        <x:f>E49</x:f>
        <x:v>6490.011776000043</x:v>
      </x:c>
      <x:c r="F50" s="95" t="n">
        <x:f>F49</x:f>
        <x:v>51973.21853120001</x:v>
      </x:c>
      <x:c r="G50" s="95" t="n">
        <x:f>G49</x:f>
        <x:v>80598.97008141446</x:v>
      </x:c>
      <x:c r="H50" s="95" t="n">
        <x:f>H49</x:f>
        <x:v>100000.66349260736</x:v>
      </x:c>
      <x:c r="I50" s="95" t="n">
        <x:f>I49</x:f>
        <x:v>109691.82782132941</x:v>
      </x:c>
      <x:c r="J50" s="95" t="n">
        <x:f>J49</x:f>
        <x:v>113427.75688108231</x:v>
      </x:c>
      <x:c r="K50" s="95" t="n">
        <x:f>K49+MAX(0,K9)*'Dynamic Inputs'!$B$31</x:f>
        <x:v>1123351.0688650846</x:v>
      </x:c>
      <x:c r="L50" s="95"/>
    </x:row>
    <x:row r="51">
      <x:c r="A51" s="96" t="str">
        <x:v>التدفقات دون الأرض</x:v>
      </x:c>
      <x:c r="B51" s="95" t="n">
        <x:f>-('School - CAPEX'!$B$19*(1-'Dynamic Inputs'!$B$29))</x:f>
        <x:v>-1872000</x:v>
      </x:c>
      <x:c r="C51" s="95" t="n">
        <x:f>B50</x:f>
        <x:v>-300251.9</x:v>
      </x:c>
      <x:c r="D51" s="95" t="n">
        <x:f>C50</x:f>
        <x:v>-150168.45999999996</x:v>
      </x:c>
      <x:c r="E51" s="95" t="n">
        <x:f>D50</x:f>
        <x:v>-64383.42399999991</x:v>
      </x:c>
      <x:c r="F51" s="95" t="n">
        <x:f>E50</x:f>
        <x:v>6490.011776000043</x:v>
      </x:c>
      <x:c r="G51" s="95" t="n">
        <x:f>F50</x:f>
        <x:v>51973.21853120001</x:v>
      </x:c>
      <x:c r="H51" s="95" t="n">
        <x:f>G50</x:f>
        <x:v>80598.97008141446</x:v>
      </x:c>
      <x:c r="I51" s="95" t="n">
        <x:f>H50</x:f>
        <x:v>100000.66349260736</x:v>
      </x:c>
      <x:c r="J51" s="95" t="n">
        <x:f>I50</x:f>
        <x:v>109691.82782132941</x:v>
      </x:c>
      <x:c r="K51" s="95" t="n">
        <x:f>J50</x:f>
        <x:v>113427.75688108231</x:v>
      </x:c>
      <x:c r="L51" s="95" t="n">
        <x:f>K50</x:f>
        <x:v>1123351.0688650846</x:v>
      </x:c>
    </x:row>
    <x:row r="52">
      <x:c r="A52" s="96" t="str">
        <x:v>التدفقات مع الأرض</x:v>
      </x:c>
      <x:c r="B52" s="95" t="n">
        <x:f>-('School - CAPEX'!$B$21-('School - CAPEX'!$B$19*'Dynamic Inputs'!$B$29))</x:f>
        <x:v>-2672000</x:v>
      </x:c>
      <x:c r="C52" s="95" t="n">
        <x:f>B50</x:f>
        <x:v>-300251.9</x:v>
      </x:c>
      <x:c r="D52" s="95" t="n">
        <x:f>C50</x:f>
        <x:v>-150168.45999999996</x:v>
      </x:c>
      <x:c r="E52" s="95" t="n">
        <x:f>D50</x:f>
        <x:v>-64383.42399999991</x:v>
      </x:c>
      <x:c r="F52" s="95" t="n">
        <x:f>E50</x:f>
        <x:v>6490.011776000043</x:v>
      </x:c>
      <x:c r="G52" s="95" t="n">
        <x:f>F50</x:f>
        <x:v>51973.21853120001</x:v>
      </x:c>
      <x:c r="H52" s="95" t="n">
        <x:f>G50</x:f>
        <x:v>80598.97008141446</x:v>
      </x:c>
      <x:c r="I52" s="95" t="n">
        <x:f>H50</x:f>
        <x:v>100000.66349260736</x:v>
      </x:c>
      <x:c r="J52" s="95" t="n">
        <x:f>I50</x:f>
        <x:v>109691.82782132941</x:v>
      </x:c>
      <x:c r="K52" s="95" t="n">
        <x:f>J50</x:f>
        <x:v>113427.75688108231</x:v>
      </x:c>
      <x:c r="L52" s="95" t="n">
        <x:f>K50</x:f>
        <x:v>1123351.0688650846</x:v>
      </x:c>
    </x:row>
    <x:row r="53">
      <x:c r="A53" s="96" t="str">
        <x:v>التراكمي دون الأرض</x:v>
      </x:c>
      <x:c r="B53" s="95" t="n">
        <x:f>B51</x:f>
        <x:v>-1872000</x:v>
      </x:c>
      <x:c r="C53" s="95" t="n">
        <x:f>B53+C51</x:f>
        <x:v>-2172251.9</x:v>
      </x:c>
      <x:c r="D53" s="95" t="n">
        <x:f>C53+D51</x:f>
        <x:v>-2322420.36</x:v>
      </x:c>
      <x:c r="E53" s="95" t="n">
        <x:f>D53+E51</x:f>
        <x:v>-2386803.784</x:v>
      </x:c>
      <x:c r="F53" s="95" t="n">
        <x:f>E53+F51</x:f>
        <x:v>-2380313.7722239997</x:v>
      </x:c>
      <x:c r="G53" s="95" t="n">
        <x:f>F53+G51</x:f>
        <x:v>-2328340.5536927995</x:v>
      </x:c>
      <x:c r="H53" s="95" t="n">
        <x:f>G53+H51</x:f>
        <x:v>-2247741.583611385</x:v>
      </x:c>
      <x:c r="I53" s="95" t="n">
        <x:f>H53+I51</x:f>
        <x:v>-2147740.9201187775</x:v>
      </x:c>
      <x:c r="J53" s="95" t="n">
        <x:f>I53+J51</x:f>
        <x:v>-2038049.092297448</x:v>
      </x:c>
      <x:c r="K53" s="95" t="n">
        <x:f>J53+K51</x:f>
        <x:v>-1924621.3354163659</x:v>
      </x:c>
      <x:c r="L53" s="95" t="n">
        <x:f>K53+L51</x:f>
        <x:v>-801270.2665512813</x:v>
      </x:c>
    </x:row>
    <x:row r="54">
      <x:c r="A54" s="96" t="str">
        <x:v>التراكمي مع الأرض</x:v>
      </x:c>
      <x:c r="B54" s="95" t="n">
        <x:f>B52</x:f>
        <x:v>-2672000</x:v>
      </x:c>
      <x:c r="C54" s="95" t="n">
        <x:f>B54+C52</x:f>
        <x:v>-2972251.9</x:v>
      </x:c>
      <x:c r="D54" s="95" t="n">
        <x:f>C54+D52</x:f>
        <x:v>-3122420.36</x:v>
      </x:c>
      <x:c r="E54" s="95" t="n">
        <x:f>D54+E52</x:f>
        <x:v>-3186803.784</x:v>
      </x:c>
      <x:c r="F54" s="95" t="n">
        <x:f>E54+F52</x:f>
        <x:v>-3180313.7722239997</x:v>
      </x:c>
      <x:c r="G54" s="95" t="n">
        <x:f>F54+G52</x:f>
        <x:v>-3128340.5536927995</x:v>
      </x:c>
      <x:c r="H54" s="95" t="n">
        <x:f>G54+H52</x:f>
        <x:v>-3047741.583611385</x:v>
      </x:c>
      <x:c r="I54" s="95" t="n">
        <x:f>H54+I52</x:f>
        <x:v>-2947740.9201187775</x:v>
      </x:c>
      <x:c r="J54" s="95" t="n">
        <x:f>I54+J52</x:f>
        <x:v>-2838049.0922974483</x:v>
      </x:c>
      <x:c r="K54" s="95" t="n">
        <x:f>J54+K52</x:f>
        <x:v>-2724621.335416366</x:v>
      </x:c>
      <x:c r="L54" s="95" t="n">
        <x:f>K54+L52</x:f>
        <x:v>-1601270.2665512813</x:v>
      </x:c>
    </x:row>
  </x:sheetData>
  <x:mergeCells>
    <x:mergeCell ref="A1:L1"/>
  </x:mergeCells>
  <x:conditionalFormatting sqref="A17:F21">
    <x:cfRule type="expression" dxfId="2" priority="1">
      <x:formula>$C17&lt;0</x:formula>
    </x:cfRule>
  </x:conditionalFormatting>
  <x:pageMargins left="0.7" right="0.7" top="0.75" bottom="0.75" header="0.3" footer="0.3"/>
  <x:drawing xmlns:r="http://schemas.openxmlformats.org/officeDocument/2006/relationships" r:id="R61ae2b4001b64dd4"/>
</x:worksheet>
</file>

<file path=xl/worksheets/sheet11.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18" hidden="0" customWidth="1"/>
    <x:col min="5" max="5" width="18" hidden="0" customWidth="1"/>
    <x:col min="6" max="6" width="17" hidden="0" customWidth="1"/>
    <x:col min="7" max="7" width="17" hidden="0" customWidth="1"/>
    <x:col min="8" max="8" width="16" hidden="0" customWidth="1"/>
    <x:col min="9" max="9" width="17" hidden="0" customWidth="1"/>
    <x:col min="10" max="10" width="20" hidden="0" customWidth="1"/>
  </x:cols>
  <x:sheetData>
    <x:row r="1">
      <x:c r="A1" s="29" t="str">
        <x:v>هيكل الموظفين وتكلفة العمالة - كوفي هاوس</x:v>
      </x:c>
      <x:c r="B1" s="29"/>
      <x:c r="C1" s="29"/>
      <x:c r="D1" s="29"/>
      <x:c r="E1" s="29"/>
      <x:c r="F1" s="29"/>
      <x:c r="G1" s="29"/>
      <x:c r="H1" s="29"/>
      <x:c r="I1" s="29"/>
      <x:c r="J1" s="29"/>
    </x:row>
    <x:row r="3">
      <x:c r="A3" s="19" t="str">
        <x:v>القسم</x:v>
      </x:c>
      <x:c r="B3" s="19" t="str">
        <x:v>المسمى الوظيفي</x:v>
      </x:c>
      <x:c r="C3" s="19" t="str">
        <x:v>العدد</x:v>
      </x:c>
      <x:c r="D3" s="19" t="str">
        <x:v>الراتب الشهري للفرد</x:v>
      </x:c>
      <x:c r="E3" s="19" t="str">
        <x:v>الراتب الشهري الإجمالي</x:v>
      </x:c>
      <x:c r="F3" s="19" t="str">
        <x:v>الراتب السنوي</x:v>
      </x:c>
      <x:c r="G3" s="19" t="str">
        <x:v>ضمان صاحب العمل</x:v>
      </x:c>
      <x:c r="H3" s="19" t="str">
        <x:v>تأمين/مزايا</x:v>
      </x:c>
      <x:c r="I3" s="19" t="str">
        <x:v>إضافي واستبدال</x:v>
      </x:c>
      <x:c r="J3" s="19" t="str">
        <x:v>الكلفة السنوية الكاملة</x:v>
      </x:c>
    </x:row>
    <x:row r="4">
      <x:c r="A4" t="str">
        <x:v>الإدارة</x:v>
      </x:c>
      <x:c r="B4" t="str">
        <x:v>مدير تشغيل</x:v>
      </x:c>
      <x:c r="C4" s="71" t="n">
        <x:v>1</x:v>
      </x:c>
      <x:c r="D4" s="82" t="n">
        <x:v>1800</x:v>
      </x:c>
      <x:c r="E4" s="84" t="n">
        <x:f>C4*D4</x:f>
        <x:v>1800</x:v>
      </x:c>
      <x:c r="F4" s="84" t="n">
        <x:f>E4*12</x:f>
        <x:v>21600</x:v>
      </x:c>
      <x:c r="G4" s="84" t="n">
        <x:f>F4*'General Assumptions'!$B$8</x:f>
        <x:v>3077.9999999999995</x:v>
      </x:c>
      <x:c r="H4" s="84" t="n">
        <x:f>F4*'General Assumptions'!$B$13</x:f>
        <x:v>972</x:v>
      </x:c>
      <x:c r="I4" s="84" t="n">
        <x:f>F4*IF(OR(A4="التشغيل",A4="المطبخ",A4="الخدمة",A4="خدمات",A4="نقل"),'General Assumptions'!$B$14,'General Assumptions'!$B$15)</x:f>
        <x:v>324</x:v>
      </x:c>
      <x:c r="J4" s="84" t="n">
        <x:f>SUM(F4:I4)</x:f>
        <x:v>25974</x:v>
      </x:c>
    </x:row>
    <x:row r="5">
      <x:c r="A5" t="str">
        <x:v>الإدارة</x:v>
      </x:c>
      <x:c r="B5" t="str">
        <x:v>مساعد مدير</x:v>
      </x:c>
      <x:c r="C5" s="71" t="n">
        <x:v>1</x:v>
      </x:c>
      <x:c r="D5" s="82" t="n">
        <x:v>1000</x:v>
      </x:c>
      <x:c r="E5" s="84" t="n">
        <x:f>C5*D5</x:f>
        <x:v>1000</x:v>
      </x:c>
      <x:c r="F5" s="84" t="n">
        <x:f>E5*12</x:f>
        <x:v>12000</x:v>
      </x:c>
      <x:c r="G5" s="84" t="n">
        <x:f>F5*'General Assumptions'!$B$8</x:f>
        <x:v>1709.9999999999998</x:v>
      </x:c>
      <x:c r="H5" s="84" t="n">
        <x:f>F5*'General Assumptions'!$B$13</x:f>
        <x:v>540</x:v>
      </x:c>
      <x:c r="I5" s="84" t="n">
        <x:f>F5*IF(OR(A5="التشغيل",A5="المطبخ",A5="الخدمة",A5="خدمات",A5="نقل"),'General Assumptions'!$B$14,'General Assumptions'!$B$15)</x:f>
        <x:v>180</x:v>
      </x:c>
      <x:c r="J5" s="84" t="n">
        <x:f>SUM(F5:I5)</x:f>
        <x:v>14430</x:v>
      </x:c>
    </x:row>
    <x:row r="6">
      <x:c r="A6" t="str">
        <x:v>الإدارة</x:v>
      </x:c>
      <x:c r="B6" t="str">
        <x:v>مشرف وردية</x:v>
      </x:c>
      <x:c r="C6" s="71" t="n">
        <x:v>3</x:v>
      </x:c>
      <x:c r="D6" s="82" t="n">
        <x:v>750</x:v>
      </x:c>
      <x:c r="E6" s="84" t="n">
        <x:f>C6*D6</x:f>
        <x:v>2250</x:v>
      </x:c>
      <x:c r="F6" s="84" t="n">
        <x:f>E6*12</x:f>
        <x:v>27000</x:v>
      </x:c>
      <x:c r="G6" s="84" t="n">
        <x:f>F6*'General Assumptions'!$B$8</x:f>
        <x:v>3847.4999999999995</x:v>
      </x:c>
      <x:c r="H6" s="84" t="n">
        <x:f>F6*'General Assumptions'!$B$13</x:f>
        <x:v>1215</x:v>
      </x:c>
      <x:c r="I6" s="84" t="n">
        <x:f>F6*IF(OR(A6="التشغيل",A6="المطبخ",A6="الخدمة",A6="خدمات",A6="نقل"),'General Assumptions'!$B$14,'General Assumptions'!$B$15)</x:f>
        <x:v>405</x:v>
      </x:c>
      <x:c r="J6" s="84" t="n">
        <x:f>SUM(F6:I6)</x:f>
        <x:v>32467.5</x:v>
      </x:c>
    </x:row>
    <x:row r="7">
      <x:c r="A7" t="str">
        <x:v>التشغيل</x:v>
      </x:c>
      <x:c r="B7" t="str">
        <x:v>رئيس باريستا</x:v>
      </x:c>
      <x:c r="C7" s="71" t="n">
        <x:v>1</x:v>
      </x:c>
      <x:c r="D7" s="82" t="n">
        <x:v>650</x:v>
      </x:c>
      <x:c r="E7" s="84" t="n">
        <x:f>C7*D7</x:f>
        <x:v>650</x:v>
      </x:c>
      <x:c r="F7" s="84" t="n">
        <x:f>E7*12</x:f>
        <x:v>7800</x:v>
      </x:c>
      <x:c r="G7" s="84" t="n">
        <x:f>F7*'General Assumptions'!$B$8</x:f>
        <x:v>1111.5</x:v>
      </x:c>
      <x:c r="H7" s="84" t="n">
        <x:f>F7*'General Assumptions'!$B$13</x:f>
        <x:v>351</x:v>
      </x:c>
      <x:c r="I7" s="84" t="n">
        <x:f>F7*IF(OR(A7="التشغيل",A7="المطبخ",A7="الخدمة",A7="خدمات",A7="نقل"),'General Assumptions'!$B$14,'General Assumptions'!$B$15)</x:f>
        <x:v>273</x:v>
      </x:c>
      <x:c r="J7" s="84" t="n">
        <x:f>SUM(F7:I7)</x:f>
        <x:v>9535.5</x:v>
      </x:c>
    </x:row>
    <x:row r="8">
      <x:c r="A8" t="str">
        <x:v>التشغيل</x:v>
      </x:c>
      <x:c r="B8" t="str">
        <x:v>باريستا</x:v>
      </x:c>
      <x:c r="C8" s="71" t="n">
        <x:v>9</x:v>
      </x:c>
      <x:c r="D8" s="82" t="n">
        <x:v>425</x:v>
      </x:c>
      <x:c r="E8" s="84" t="n">
        <x:f>C8*D8</x:f>
        <x:v>3825</x:v>
      </x:c>
      <x:c r="F8" s="84" t="n">
        <x:f>E8*12</x:f>
        <x:v>45900</x:v>
      </x:c>
      <x:c r="G8" s="84" t="n">
        <x:f>F8*'General Assumptions'!$B$8</x:f>
        <x:v>6540.749999999999</x:v>
      </x:c>
      <x:c r="H8" s="84" t="n">
        <x:f>F8*'General Assumptions'!$B$13</x:f>
        <x:v>2065.5</x:v>
      </x:c>
      <x:c r="I8" s="84" t="n">
        <x:f>F8*IF(OR(A8="التشغيل",A8="المطبخ",A8="الخدمة",A8="خدمات",A8="نقل"),'General Assumptions'!$B$14,'General Assumptions'!$B$15)</x:f>
        <x:v>1606.5000000000002</x:v>
      </x:c>
      <x:c r="J8" s="84" t="n">
        <x:f>SUM(F8:I8)</x:f>
        <x:v>56112.75</x:v>
      </x:c>
    </x:row>
    <x:row r="9">
      <x:c r="A9" t="str">
        <x:v>التشغيل</x:v>
      </x:c>
      <x:c r="B9" t="str">
        <x:v>كاشير</x:v>
      </x:c>
      <x:c r="C9" s="71" t="n">
        <x:v>3</x:v>
      </x:c>
      <x:c r="D9" s="82" t="n">
        <x:v>400</x:v>
      </x:c>
      <x:c r="E9" s="84" t="n">
        <x:f>C9*D9</x:f>
        <x:v>1200</x:v>
      </x:c>
      <x:c r="F9" s="84" t="n">
        <x:f>E9*12</x:f>
        <x:v>14400</x:v>
      </x:c>
      <x:c r="G9" s="84" t="n">
        <x:f>F9*'General Assumptions'!$B$8</x:f>
        <x:v>2052</x:v>
      </x:c>
      <x:c r="H9" s="84" t="n">
        <x:f>F9*'General Assumptions'!$B$13</x:f>
        <x:v>648</x:v>
      </x:c>
      <x:c r="I9" s="84" t="n">
        <x:f>F9*IF(OR(A9="التشغيل",A9="المطبخ",A9="الخدمة",A9="خدمات",A9="نقل"),'General Assumptions'!$B$14,'General Assumptions'!$B$15)</x:f>
        <x:v>504.00000000000006</x:v>
      </x:c>
      <x:c r="J9" s="84" t="n">
        <x:f>SUM(F9:I9)</x:f>
        <x:v>17604</x:v>
      </x:c>
    </x:row>
    <x:row r="10">
      <x:c r="A10" t="str">
        <x:v>المطبخ</x:v>
      </x:c>
      <x:c r="B10" t="str">
        <x:v>شيف تنفيذي</x:v>
      </x:c>
      <x:c r="C10" s="71" t="n">
        <x:v>1</x:v>
      </x:c>
      <x:c r="D10" s="82" t="n">
        <x:v>1200</x:v>
      </x:c>
      <x:c r="E10" s="84" t="n">
        <x:f>C10*D10</x:f>
        <x:v>1200</x:v>
      </x:c>
      <x:c r="F10" s="84" t="n">
        <x:f>E10*12</x:f>
        <x:v>14400</x:v>
      </x:c>
      <x:c r="G10" s="84" t="n">
        <x:f>F10*'General Assumptions'!$B$8</x:f>
        <x:v>2052</x:v>
      </x:c>
      <x:c r="H10" s="84" t="n">
        <x:f>F10*'General Assumptions'!$B$13</x:f>
        <x:v>648</x:v>
      </x:c>
      <x:c r="I10" s="84" t="n">
        <x:f>F10*IF(OR(A10="التشغيل",A10="المطبخ",A10="الخدمة",A10="خدمات",A10="نقل"),'General Assumptions'!$B$14,'General Assumptions'!$B$15)</x:f>
        <x:v>504.00000000000006</x:v>
      </x:c>
      <x:c r="J10" s="84" t="n">
        <x:f>SUM(F10:I10)</x:f>
        <x:v>17604</x:v>
      </x:c>
    </x:row>
    <x:row r="11">
      <x:c r="A11" t="str">
        <x:v>المطبخ</x:v>
      </x:c>
      <x:c r="B11" t="str">
        <x:v>طاهٍ</x:v>
      </x:c>
      <x:c r="C11" s="71" t="n">
        <x:v>3</x:v>
      </x:c>
      <x:c r="D11" s="82" t="n">
        <x:v>650</x:v>
      </x:c>
      <x:c r="E11" s="84" t="n">
        <x:f>C11*D11</x:f>
        <x:v>1950</x:v>
      </x:c>
      <x:c r="F11" s="84" t="n">
        <x:f>E11*12</x:f>
        <x:v>23400</x:v>
      </x:c>
      <x:c r="G11" s="84" t="n">
        <x:f>F11*'General Assumptions'!$B$8</x:f>
        <x:v>3334.4999999999995</x:v>
      </x:c>
      <x:c r="H11" s="84" t="n">
        <x:f>F11*'General Assumptions'!$B$13</x:f>
        <x:v>1053</x:v>
      </x:c>
      <x:c r="I11" s="84" t="n">
        <x:f>F11*IF(OR(A11="التشغيل",A11="المطبخ",A11="الخدمة",A11="خدمات",A11="نقل"),'General Assumptions'!$B$14,'General Assumptions'!$B$15)</x:f>
        <x:v>819.0000000000001</x:v>
      </x:c>
      <x:c r="J11" s="84" t="n">
        <x:f>SUM(F11:I11)</x:f>
        <x:v>28606.5</x:v>
      </x:c>
    </x:row>
    <x:row r="12">
      <x:c r="A12" t="str">
        <x:v>المطبخ</x:v>
      </x:c>
      <x:c r="B12" t="str">
        <x:v>عامل تحضير وغسيل</x:v>
      </x:c>
      <x:c r="C12" s="71" t="n">
        <x:v>4</x:v>
      </x:c>
      <x:c r="D12" s="82" t="n">
        <x:v>375</x:v>
      </x:c>
      <x:c r="E12" s="84" t="n">
        <x:f>C12*D12</x:f>
        <x:v>1500</x:v>
      </x:c>
      <x:c r="F12" s="84" t="n">
        <x:f>E12*12</x:f>
        <x:v>18000</x:v>
      </x:c>
      <x:c r="G12" s="84" t="n">
        <x:f>F12*'General Assumptions'!$B$8</x:f>
        <x:v>2565</x:v>
      </x:c>
      <x:c r="H12" s="84" t="n">
        <x:f>F12*'General Assumptions'!$B$13</x:f>
        <x:v>810</x:v>
      </x:c>
      <x:c r="I12" s="84" t="n">
        <x:f>F12*IF(OR(A12="التشغيل",A12="المطبخ",A12="الخدمة",A12="خدمات",A12="نقل"),'General Assumptions'!$B$14,'General Assumptions'!$B$15)</x:f>
        <x:v>630.0000000000001</x:v>
      </x:c>
      <x:c r="J12" s="84" t="n">
        <x:f>SUM(F12:I12)</x:f>
        <x:v>22005</x:v>
      </x:c>
    </x:row>
    <x:row r="13">
      <x:c r="A13" t="str">
        <x:v>الخدمة</x:v>
      </x:c>
      <x:c r="B13" t="str">
        <x:v>مقدم خدمة</x:v>
      </x:c>
      <x:c r="C13" s="71" t="n">
        <x:v>8</x:v>
      </x:c>
      <x:c r="D13" s="82" t="n">
        <x:v>375</x:v>
      </x:c>
      <x:c r="E13" s="84" t="n">
        <x:f>C13*D13</x:f>
        <x:v>3000</x:v>
      </x:c>
      <x:c r="F13" s="84" t="n">
        <x:f>E13*12</x:f>
        <x:v>36000</x:v>
      </x:c>
      <x:c r="G13" s="84" t="n">
        <x:f>F13*'General Assumptions'!$B$8</x:f>
        <x:v>5130</x:v>
      </x:c>
      <x:c r="H13" s="84" t="n">
        <x:f>F13*'General Assumptions'!$B$13</x:f>
        <x:v>1620</x:v>
      </x:c>
      <x:c r="I13" s="84" t="n">
        <x:f>F13*IF(OR(A13="التشغيل",A13="المطبخ",A13="الخدمة",A13="خدمات",A13="نقل"),'General Assumptions'!$B$14,'General Assumptions'!$B$15)</x:f>
        <x:v>1260.0000000000002</x:v>
      </x:c>
      <x:c r="J13" s="84" t="n">
        <x:f>SUM(F13:I13)</x:f>
        <x:v>44010</x:v>
      </x:c>
    </x:row>
    <x:row r="14">
      <x:c r="A14" t="str">
        <x:v>الخدمة</x:v>
      </x:c>
      <x:c r="B14" t="str">
        <x:v>مضيف/استقبال</x:v>
      </x:c>
      <x:c r="C14" s="71" t="n">
        <x:v>2</x:v>
      </x:c>
      <x:c r="D14" s="82" t="n">
        <x:v>425</x:v>
      </x:c>
      <x:c r="E14" s="84" t="n">
        <x:f>C14*D14</x:f>
        <x:v>850</x:v>
      </x:c>
      <x:c r="F14" s="84" t="n">
        <x:f>E14*12</x:f>
        <x:v>10200</x:v>
      </x:c>
      <x:c r="G14" s="84" t="n">
        <x:f>F14*'General Assumptions'!$B$8</x:f>
        <x:v>1453.4999999999998</x:v>
      </x:c>
      <x:c r="H14" s="84" t="n">
        <x:f>F14*'General Assumptions'!$B$13</x:f>
        <x:v>459</x:v>
      </x:c>
      <x:c r="I14" s="84" t="n">
        <x:f>F14*IF(OR(A14="التشغيل",A14="المطبخ",A14="الخدمة",A14="خدمات",A14="نقل"),'General Assumptions'!$B$14,'General Assumptions'!$B$15)</x:f>
        <x:v>357.00000000000006</x:v>
      </x:c>
      <x:c r="J14" s="84" t="n">
        <x:f>SUM(F14:I14)</x:f>
        <x:v>12469.5</x:v>
      </x:c>
    </x:row>
    <x:row r="15">
      <x:c r="A15" t="str">
        <x:v>الدعم</x:v>
      </x:c>
      <x:c r="B15" t="str">
        <x:v>مسؤول مخزون ومشتريات</x:v>
      </x:c>
      <x:c r="C15" s="71" t="n">
        <x:v>1</x:v>
      </x:c>
      <x:c r="D15" s="82" t="n">
        <x:v>600</x:v>
      </x:c>
      <x:c r="E15" s="84" t="n">
        <x:f>C15*D15</x:f>
        <x:v>600</x:v>
      </x:c>
      <x:c r="F15" s="84" t="n">
        <x:f>E15*12</x:f>
        <x:v>7200</x:v>
      </x:c>
      <x:c r="G15" s="84" t="n">
        <x:f>F15*'General Assumptions'!$B$8</x:f>
        <x:v>1026</x:v>
      </x:c>
      <x:c r="H15" s="84" t="n">
        <x:f>F15*'General Assumptions'!$B$13</x:f>
        <x:v>324</x:v>
      </x:c>
      <x:c r="I15" s="84" t="n">
        <x:f>F15*IF(OR(A15="التشغيل",A15="المطبخ",A15="الخدمة",A15="خدمات",A15="نقل"),'General Assumptions'!$B$14,'General Assumptions'!$B$15)</x:f>
        <x:v>108</x:v>
      </x:c>
      <x:c r="J15" s="84" t="n">
        <x:f>SUM(F15:I15)</x:f>
        <x:v>8658</x:v>
      </x:c>
    </x:row>
    <x:row r="16">
      <x:c r="A16" t="str">
        <x:v>الدعم</x:v>
      </x:c>
      <x:c r="B16" t="str">
        <x:v>عامل نظافة</x:v>
      </x:c>
      <x:c r="C16" s="71" t="n">
        <x:v>4</x:v>
      </x:c>
      <x:c r="D16" s="82" t="n">
        <x:v>325</x:v>
      </x:c>
      <x:c r="E16" s="84" t="n">
        <x:f>C16*D16</x:f>
        <x:v>1300</x:v>
      </x:c>
      <x:c r="F16" s="84" t="n">
        <x:f>E16*12</x:f>
        <x:v>15600</x:v>
      </x:c>
      <x:c r="G16" s="84" t="n">
        <x:f>F16*'General Assumptions'!$B$8</x:f>
        <x:v>2223</x:v>
      </x:c>
      <x:c r="H16" s="84" t="n">
        <x:f>F16*'General Assumptions'!$B$13</x:f>
        <x:v>702</x:v>
      </x:c>
      <x:c r="I16" s="84" t="n">
        <x:f>F16*IF(OR(A16="التشغيل",A16="المطبخ",A16="الخدمة",A16="خدمات",A16="نقل"),'General Assumptions'!$B$14,'General Assumptions'!$B$15)</x:f>
        <x:v>234</x:v>
      </x:c>
      <x:c r="J16" s="84" t="n">
        <x:f>SUM(F16:I16)</x:f>
        <x:v>18759</x:v>
      </x:c>
    </x:row>
    <x:row r="17">
      <x:c r="A17" t="str">
        <x:v>الدعم</x:v>
      </x:c>
      <x:c r="B17" t="str">
        <x:v>حارس أمن</x:v>
      </x:c>
      <x:c r="C17" s="71" t="n">
        <x:v>2</x:v>
      </x:c>
      <x:c r="D17" s="82" t="n">
        <x:v>350</x:v>
      </x:c>
      <x:c r="E17" s="84" t="n">
        <x:f>C17*D17</x:f>
        <x:v>700</x:v>
      </x:c>
      <x:c r="F17" s="84" t="n">
        <x:f>E17*12</x:f>
        <x:v>8400</x:v>
      </x:c>
      <x:c r="G17" s="84" t="n">
        <x:f>F17*'General Assumptions'!$B$8</x:f>
        <x:v>1197</x:v>
      </x:c>
      <x:c r="H17" s="84" t="n">
        <x:f>F17*'General Assumptions'!$B$13</x:f>
        <x:v>378</x:v>
      </x:c>
      <x:c r="I17" s="84" t="n">
        <x:f>F17*IF(OR(A17="التشغيل",A17="المطبخ",A17="الخدمة",A17="خدمات",A17="نقل"),'General Assumptions'!$B$14,'General Assumptions'!$B$15)</x:f>
        <x:v>126</x:v>
      </x:c>
      <x:c r="J17" s="84" t="n">
        <x:f>SUM(F17:I17)</x:f>
        <x:v>10101</x:v>
      </x:c>
    </x:row>
    <x:row r="18">
      <x:c r="A18" t="str">
        <x:v>الإدارة</x:v>
      </x:c>
      <x:c r="B18" t="str">
        <x:v>محاسب</x:v>
      </x:c>
      <x:c r="C18" s="71" t="n">
        <x:v>1</x:v>
      </x:c>
      <x:c r="D18" s="82" t="n">
        <x:v>650</x:v>
      </x:c>
      <x:c r="E18" s="84" t="n">
        <x:f>C18*D18</x:f>
        <x:v>650</x:v>
      </x:c>
      <x:c r="F18" s="84" t="n">
        <x:f>E18*12</x:f>
        <x:v>7800</x:v>
      </x:c>
      <x:c r="G18" s="84" t="n">
        <x:f>F18*'General Assumptions'!$B$8</x:f>
        <x:v>1111.5</x:v>
      </x:c>
      <x:c r="H18" s="84" t="n">
        <x:f>F18*'General Assumptions'!$B$13</x:f>
        <x:v>351</x:v>
      </x:c>
      <x:c r="I18" s="84" t="n">
        <x:f>F18*IF(OR(A18="التشغيل",A18="المطبخ",A18="الخدمة",A18="خدمات",A18="نقل"),'General Assumptions'!$B$14,'General Assumptions'!$B$15)</x:f>
        <x:v>117</x:v>
      </x:c>
      <x:c r="J18" s="84" t="n">
        <x:f>SUM(F18:I18)</x:f>
        <x:v>9379.5</x:v>
      </x:c>
    </x:row>
    <x:row r="19">
      <x:c r="A19" t="str">
        <x:v>التسويق</x:v>
      </x:c>
      <x:c r="B19" t="str">
        <x:v>مسؤول تسويق وفعاليات</x:v>
      </x:c>
      <x:c r="C19" s="71" t="n">
        <x:v>1</x:v>
      </x:c>
      <x:c r="D19" s="82" t="n">
        <x:v>700</x:v>
      </x:c>
      <x:c r="E19" s="84" t="n">
        <x:f>C19*D19</x:f>
        <x:v>700</x:v>
      </x:c>
      <x:c r="F19" s="84" t="n">
        <x:f>E19*12</x:f>
        <x:v>8400</x:v>
      </x:c>
      <x:c r="G19" s="84" t="n">
        <x:f>F19*'General Assumptions'!$B$8</x:f>
        <x:v>1197</x:v>
      </x:c>
      <x:c r="H19" s="84" t="n">
        <x:f>F19*'General Assumptions'!$B$13</x:f>
        <x:v>378</x:v>
      </x:c>
      <x:c r="I19" s="84" t="n">
        <x:f>F19*IF(OR(A19="التشغيل",A19="المطبخ",A19="الخدمة",A19="خدمات",A19="نقل"),'General Assumptions'!$B$14,'General Assumptions'!$B$15)</x:f>
        <x:v>126</x:v>
      </x:c>
      <x:c r="J19" s="84" t="n">
        <x:f>SUM(F19:I19)</x:f>
        <x:v>10101</x:v>
      </x:c>
    </x:row>
    <x:row r="20">
      <x:c r="A20" s="52" t="str">
        <x:v>إجمالي تكلفة العمالة السنوية</x:v>
      </x:c>
      <x:c r="B20" s="52"/>
      <x:c r="C20" s="52"/>
      <x:c r="D20" s="52"/>
      <x:c r="E20" s="52"/>
      <x:c r="F20" s="52"/>
      <x:c r="G20" s="52"/>
      <x:c r="H20" s="52"/>
      <x:c r="I20" s="52"/>
      <x:c r="J20" s="85" t="n">
        <x:f>SUM(J4:J19)</x:f>
        <x:v>337817.25</x:v>
      </x:c>
    </x:row>
    <x:row r="22">
      <x:c r="A22" s="57" t="str">
        <x:v>ملاحظة: الكلفة الكاملة تشمل الراتب الأساسي، حصة صاحب العمل في الضمان، مخصص التأمين والمزايا، والعمل الإضافي أو الاستبدال. لا تشمل الإكراميات أو عمولات اختيارية غير مضمونة.</x:v>
      </x:c>
      <x:c r="B22" s="57"/>
      <x:c r="C22" s="57"/>
      <x:c r="D22" s="57"/>
      <x:c r="E22" s="57"/>
      <x:c r="F22" s="57"/>
      <x:c r="G22" s="57"/>
      <x:c r="H22" s="57"/>
      <x:c r="I22" s="57"/>
      <x:c r="J22" s="57"/>
    </x:row>
    <x:row r="23">
      <x:c r="A23" s="57"/>
      <x:c r="B23" s="57"/>
      <x:c r="C23" s="57"/>
      <x:c r="D23" s="57"/>
      <x:c r="E23" s="57"/>
      <x:c r="F23" s="57"/>
      <x:c r="G23" s="57"/>
      <x:c r="H23" s="57"/>
      <x:c r="I23" s="57"/>
      <x:c r="J23" s="57"/>
    </x:row>
    <x:row r="24">
      <x:c r="A24" s="57"/>
      <x:c r="B24" s="57"/>
      <x:c r="C24" s="57"/>
      <x:c r="D24" s="57"/>
      <x:c r="E24" s="57"/>
      <x:c r="F24" s="57"/>
      <x:c r="G24" s="57"/>
      <x:c r="H24" s="57"/>
      <x:c r="I24" s="57"/>
      <x:c r="J24" s="57"/>
    </x:row>
  </x:sheetData>
  <x:mergeCells>
    <x:mergeCell ref="A1:J1"/>
    <x:mergeCell ref="A20:I20"/>
    <x:mergeCell ref="A22:J24"/>
  </x:mergeCells>
  <x:dataValidations count="2">
    <x:dataValidation operator="between" sqref="C4:C19">
      <x:formula1>0</x:formula1>
      <x:formula2>200</x:formula2>
    </x:dataValidation>
    <x:dataValidation type="decimal" operator="between" sqref="D4:D19">
      <x:formula1>0</x:formula1>
      <x:formula2>10000</x:formula2>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38" hidden="0" customWidth="1"/>
    <x:col min="2" max="2" width="18" hidden="0" customWidth="1"/>
    <x:col min="3" max="3" width="16" hidden="0" customWidth="1"/>
    <x:col min="4" max="4" width="20" hidden="0" customWidth="1"/>
    <x:col min="5" max="5" width="38" hidden="0" customWidth="1"/>
  </x:cols>
  <x:sheetData>
    <x:row r="1">
      <x:c r="A1" s="29" t="str">
        <x:v>الاستثمار الأولي - كوفي هاوس</x:v>
      </x:c>
      <x:c r="B1" s="29"/>
      <x:c r="C1" s="29"/>
      <x:c r="D1" s="29"/>
      <x:c r="E1" s="29"/>
    </x:row>
    <x:row r="3">
      <x:c r="A3" s="19" t="str">
        <x:v>البند</x:v>
      </x:c>
      <x:c r="B3" s="19" t="str">
        <x:v>القيمة JOD</x:v>
      </x:c>
      <x:c r="C3" s="19" t="str">
        <x:v>% من الإجمالي</x:v>
      </x:c>
      <x:c r="D3" s="19" t="str">
        <x:v>طبيعة البند</x:v>
      </x:c>
      <x:c r="E3" s="19" t="str">
        <x:v>قرار/ملاحظة</x:v>
      </x:c>
    </x:row>
    <x:row r="4">
      <x:c r="A4" t="str">
        <x:v>دراسات وتصميم وإدارة مشروع</x:v>
      </x:c>
      <x:c r="B4" s="82" t="n">
        <x:v>45000</x:v>
      </x:c>
      <x:c r="C4" s="86" t="n">
        <x:f>IFERROR(B4/$B$18,0)</x:f>
        <x:v>0.061224489795918366</x:v>
      </x:c>
      <x:c r="D4" t="str">
        <x:v>استثماري</x:v>
      </x:c>
      <x:c r="E4" t="str"/>
    </x:row>
    <x:row r="5">
      <x:c r="A5" t="str">
        <x:v>أعمال إنشائية ومدنية</x:v>
      </x:c>
      <x:c r="B5" s="82" t="n">
        <x:v>175000</x:v>
      </x:c>
      <x:c r="C5" s="86" t="n">
        <x:f>IFERROR(B5/$B$18,0)</x:f>
        <x:v>0.23809523809523808</x:v>
      </x:c>
      <x:c r="D5" t="str">
        <x:v>استثماري</x:v>
      </x:c>
      <x:c r="E5" t="str"/>
    </x:row>
    <x:row r="6">
      <x:c r="A6" t="str">
        <x:v>تشطيبات وديكور مميز</x:v>
      </x:c>
      <x:c r="B6" s="82" t="n">
        <x:v>155000</x:v>
      </x:c>
      <x:c r="C6" s="86" t="n">
        <x:f>IFERROR(B6/$B$18,0)</x:f>
        <x:v>0.2108843537414966</x:v>
      </x:c>
      <x:c r="D6" t="str">
        <x:v>استثماري</x:v>
      </x:c>
      <x:c r="E6" t="str"/>
    </x:row>
    <x:row r="7">
      <x:c r="A7" t="str">
        <x:v>معدات قهوة ومشروبات</x:v>
      </x:c>
      <x:c r="B7" s="82" t="n">
        <x:v>58000</x:v>
      </x:c>
      <x:c r="C7" s="86" t="n">
        <x:f>IFERROR(B7/$B$18,0)</x:f>
        <x:v>0.07891156462585033</x:v>
      </x:c>
      <x:c r="D7" t="str">
        <x:v>استثماري</x:v>
      </x:c>
      <x:c r="E7" t="str"/>
    </x:row>
    <x:row r="8">
      <x:c r="A8" t="str">
        <x:v>مطبخ كامل وتبريد</x:v>
      </x:c>
      <x:c r="B8" s="82" t="n">
        <x:v>62000</x:v>
      </x:c>
      <x:c r="C8" s="86" t="n">
        <x:f>IFERROR(B8/$B$18,0)</x:f>
        <x:v>0.08435374149659863</x:v>
      </x:c>
      <x:c r="D8" t="str">
        <x:v>استثماري</x:v>
      </x:c>
      <x:c r="E8" t="str"/>
    </x:row>
    <x:row r="9">
      <x:c r="A9" t="str">
        <x:v>أثاث وتجهيز مناطق جلوس</x:v>
      </x:c>
      <x:c r="B9" s="82" t="n">
        <x:v>58000</x:v>
      </x:c>
      <x:c r="C9" s="86" t="n">
        <x:f>IFERROR(B9/$B$18,0)</x:f>
        <x:v>0.07891156462585033</x:v>
      </x:c>
      <x:c r="D9" t="str">
        <x:v>استثماري</x:v>
      </x:c>
      <x:c r="E9" t="str"/>
    </x:row>
    <x:row r="10">
      <x:c r="A10" t="str">
        <x:v>تكييف وتهوية وعزل صوت</x:v>
      </x:c>
      <x:c r="B10" s="82" t="n">
        <x:v>38000</x:v>
      </x:c>
      <x:c r="C10" s="86" t="n">
        <x:f>IFERROR(B10/$B$18,0)</x:f>
        <x:v>0.05170068027210884</x:v>
      </x:c>
      <x:c r="D10" t="str">
        <x:v>استثماري</x:v>
      </x:c>
      <x:c r="E10" t="str"/>
    </x:row>
    <x:row r="11">
      <x:c r="A11" t="str">
        <x:v>كهرباء وسباكة وسلامة</x:v>
      </x:c>
      <x:c r="B11" s="82" t="n">
        <x:v>25000</x:v>
      </x:c>
      <x:c r="C11" s="86" t="n">
        <x:f>IFERROR(B11/$B$18,0)</x:f>
        <x:v>0.034013605442176874</x:v>
      </x:c>
      <x:c r="D11" t="str">
        <x:v>استثماري</x:v>
      </x:c>
      <x:c r="E11" t="str"/>
    </x:row>
    <x:row r="12">
      <x:c r="A12" t="str">
        <x:v>أنظمة POS وحجز وكاميرات</x:v>
      </x:c>
      <x:c r="B12" s="82" t="n">
        <x:v>12000</x:v>
      </x:c>
      <x:c r="C12" s="86" t="n">
        <x:f>IFERROR(B12/$B$18,0)</x:f>
        <x:v>0.0163265306122449</x:v>
      </x:c>
      <x:c r="D12" t="str">
        <x:v>استثماري</x:v>
      </x:c>
      <x:c r="E12" t="str"/>
    </x:row>
    <x:row r="13">
      <x:c r="A13" t="str">
        <x:v>لوحات وتراس وأعمال خارجية</x:v>
      </x:c>
      <x:c r="B13" s="82" t="n">
        <x:v>15000</x:v>
      </x:c>
      <x:c r="C13" s="86" t="n">
        <x:f>IFERROR(B13/$B$18,0)</x:f>
        <x:v>0.02040816326530612</x:v>
      </x:c>
      <x:c r="D13" t="str">
        <x:v>استثماري</x:v>
      </x:c>
      <x:c r="E13" t="str"/>
    </x:row>
    <x:row r="14">
      <x:c r="A14" t="str">
        <x:v>تسويق وتوظيف قبل الافتتاح</x:v>
      </x:c>
      <x:c r="B14" s="82" t="n">
        <x:v>18000</x:v>
      </x:c>
      <x:c r="C14" s="86" t="n">
        <x:f>IFERROR(B14/$B$18,0)</x:f>
        <x:v>0.024489795918367346</x:v>
      </x:c>
      <x:c r="D14" t="str">
        <x:v>استثماري</x:v>
      </x:c>
      <x:c r="E14" t="str"/>
    </x:row>
    <x:row r="15">
      <x:c r="A15" t="str">
        <x:v>مخزون افتتاحي</x:v>
      </x:c>
      <x:c r="B15" s="82" t="n">
        <x:v>9000</x:v>
      </x:c>
      <x:c r="C15" s="86" t="n">
        <x:f>IFERROR(B15/$B$18,0)</x:f>
        <x:v>0.012244897959183673</x:v>
      </x:c>
      <x:c r="D15" t="str">
        <x:v>تشغيلي افتتاحي</x:v>
      </x:c>
      <x:c r="E15" t="str"/>
    </x:row>
    <x:row r="16">
      <x:c r="A16" t="str">
        <x:v>رأس مال عامل افتتاحي</x:v>
      </x:c>
      <x:c r="B16" s="82" t="n">
        <x:v>32000</x:v>
      </x:c>
      <x:c r="C16" s="86" t="n">
        <x:f>IFERROR(B16/$B$18,0)</x:f>
        <x:v>0.04353741496598639</x:v>
      </x:c>
      <x:c r="D16" t="str">
        <x:v>تشغيلي افتتاحي</x:v>
      </x:c>
      <x:c r="E16" t="str"/>
    </x:row>
    <x:row r="17">
      <x:c r="A17" t="str">
        <x:v>احتياطي تجاوز تكاليف</x:v>
      </x:c>
      <x:c r="B17" s="82" t="n">
        <x:v>33000</x:v>
      </x:c>
      <x:c r="C17" s="86" t="n">
        <x:f>IFERROR(B17/$B$18,0)</x:f>
        <x:v>0.044897959183673466</x:v>
      </x:c>
      <x:c r="D17" t="str">
        <x:v>استثماري</x:v>
      </x:c>
      <x:c r="E17" t="str"/>
    </x:row>
    <x:row r="18">
      <x:c r="A18" s="52" t="str">
        <x:v>الإجمالي دون الأرض</x:v>
      </x:c>
      <x:c r="B18" s="54" t="n">
        <x:f>SUM(B4:B17)</x:f>
        <x:v>735000</x:v>
      </x:c>
      <x:c r="C18" s="52"/>
      <x:c r="D18" s="52"/>
      <x:c r="E18" s="52"/>
    </x:row>
    <x:row r="19">
      <x:c r="A19" t="str">
        <x:v>القيمة الاقتصادية للأرض</x:v>
      </x:c>
      <x:c r="B19" s="87" t="n">
        <x:f>'General Assumptions'!$B$4</x:f>
        <x:v>800000</x:v>
      </x:c>
    </x:row>
    <x:row r="20">
      <x:c r="A20" s="16" t="str">
        <x:v>إجمالي رأس المال الاقتصادي</x:v>
      </x:c>
      <x:c r="B20" s="88" t="n">
        <x:f>SUM(B18:B19)</x:f>
        <x:v>1535000</x:v>
      </x:c>
      <x:c r="C20" s="16"/>
      <x:c r="D20" s="16"/>
      <x:c r="E20" s="16"/>
    </x:row>
  </x:sheetData>
  <x:mergeCells>
    <x:mergeCell ref="A1:E1"/>
  </x:mergeCells>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24" hidden="0" customWidth="1"/>
    <x:col min="5" max="5" width="16" hidden="0" customWidth="1"/>
    <x:col min="6" max="6" width="34" hidden="0" customWidth="1"/>
  </x:cols>
  <x:sheetData>
    <x:row r="1">
      <x:c r="A1" s="29" t="str">
        <x:v>المصروفات التشغيلية - كوفي هاوس</x:v>
      </x:c>
      <x:c r="B1" s="29"/>
      <x:c r="C1" s="29"/>
      <x:c r="D1" s="29"/>
      <x:c r="E1" s="29"/>
      <x:c r="F1" s="29"/>
    </x:row>
    <x:row r="3">
      <x:c r="A3" s="19" t="str">
        <x:v>البند</x:v>
      </x:c>
      <x:c r="B3" s="19" t="str">
        <x:v>شهري JOD</x:v>
      </x:c>
      <x:c r="C3" s="19" t="str">
        <x:v>سنوي JOD</x:v>
      </x:c>
      <x:c r="D3" s="19" t="str">
        <x:v>محرك التكلفة</x:v>
      </x:c>
      <x:c r="E3" s="19" t="str">
        <x:v>ثابت/متغير</x:v>
      </x:c>
      <x:c r="F3" s="19" t="str">
        <x:v>ملاحظة</x:v>
      </x:c>
    </x:row>
    <x:row r="4">
      <x:c r="A4" t="str">
        <x:v>كهرباء ومياه وغاز</x:v>
      </x:c>
      <x:c r="B4" s="84" t="n">
        <x:f>C4/12</x:f>
        <x:v>4833.333333333333</x:v>
      </x:c>
      <x:c r="C4" s="82" t="n">
        <x:v>58000</x:v>
      </x:c>
      <x:c r="D4" t="str">
        <x:v>التضخم/الاستخدام</x:v>
      </x:c>
      <x:c r="E4" t="str">
        <x:v>شبه ثابت</x:v>
      </x:c>
      <x:c r="F4" t="str"/>
    </x:row>
    <x:row r="5">
      <x:c r="A5" t="str">
        <x:v>صيانة معدات ومبنى</x:v>
      </x:c>
      <x:c r="B5" s="84" t="n">
        <x:f>C5/12</x:f>
        <x:v>1833.3333333333333</x:v>
      </x:c>
      <x:c r="C5" s="82" t="n">
        <x:v>22000</x:v>
      </x:c>
      <x:c r="D5" t="str">
        <x:v>التضخم/الاستخدام</x:v>
      </x:c>
      <x:c r="E5" t="str">
        <x:v>شبه ثابت</x:v>
      </x:c>
      <x:c r="F5" t="str"/>
    </x:row>
    <x:row r="6">
      <x:c r="A6" t="str">
        <x:v>تسويق وفعاليات</x:v>
      </x:c>
      <x:c r="B6" s="84" t="n">
        <x:f>C6/12</x:f>
        <x:v>3500</x:v>
      </x:c>
      <x:c r="C6" s="82" t="n">
        <x:v>42000</x:v>
      </x:c>
      <x:c r="D6" t="str">
        <x:v>التضخم/الاستخدام</x:v>
      </x:c>
      <x:c r="E6" t="str">
        <x:v>شبه ثابت</x:v>
      </x:c>
      <x:c r="F6" t="str"/>
    </x:row>
    <x:row r="7">
      <x:c r="A7" t="str">
        <x:v>تأمين</x:v>
      </x:c>
      <x:c r="B7" s="84" t="n">
        <x:f>C7/12</x:f>
        <x:v>625</x:v>
      </x:c>
      <x:c r="C7" s="82" t="n">
        <x:v>7500</x:v>
      </x:c>
      <x:c r="D7" t="str">
        <x:v>التضخم/الاستخدام</x:v>
      </x:c>
      <x:c r="E7" t="str">
        <x:v>شبه ثابت</x:v>
      </x:c>
      <x:c r="F7" t="str"/>
    </x:row>
    <x:row r="8">
      <x:c r="A8" t="str">
        <x:v>نظافة ومستهلكات</x:v>
      </x:c>
      <x:c r="B8" s="84" t="n">
        <x:f>C8/12</x:f>
        <x:v>1083.3333333333333</x:v>
      </x:c>
      <x:c r="C8" s="82" t="n">
        <x:v>13000</x:v>
      </x:c>
      <x:c r="D8" t="str">
        <x:v>التضخم/الاستخدام</x:v>
      </x:c>
      <x:c r="E8" t="str">
        <x:v>شبه ثابت</x:v>
      </x:c>
      <x:c r="F8" t="str"/>
    </x:row>
    <x:row r="9">
      <x:c r="A9" t="str">
        <x:v>إنترنت واتصالات وأنظمة</x:v>
      </x:c>
      <x:c r="B9" s="84" t="n">
        <x:f>C9/12</x:f>
        <x:v>666.6666666666666</x:v>
      </x:c>
      <x:c r="C9" s="82" t="n">
        <x:v>8000</x:v>
      </x:c>
      <x:c r="D9" t="str">
        <x:v>التضخم/الاستخدام</x:v>
      </x:c>
      <x:c r="E9" t="str">
        <x:v>شبه ثابت</x:v>
      </x:c>
      <x:c r="F9" t="str"/>
    </x:row>
    <x:row r="10">
      <x:c r="A10" t="str">
        <x:v>رسوم وتجديدات ومهنية</x:v>
      </x:c>
      <x:c r="B10" s="84" t="n">
        <x:f>C10/12</x:f>
        <x:v>708.3333333333334</x:v>
      </x:c>
      <x:c r="C10" s="82" t="n">
        <x:v>8500</x:v>
      </x:c>
      <x:c r="D10" t="str">
        <x:v>التضخم/الاستخدام</x:v>
      </x:c>
      <x:c r="E10" t="str">
        <x:v>شبه ثابت</x:v>
      </x:c>
      <x:c r="F10" t="str"/>
    </x:row>
    <x:row r="11">
      <x:c r="A11" t="str">
        <x:v>أمن إضافي</x:v>
      </x:c>
      <x:c r="B11" s="84" t="n">
        <x:f>C11/12</x:f>
        <x:v>416.6666666666667</x:v>
      </x:c>
      <x:c r="C11" s="82" t="n">
        <x:v>5000</x:v>
      </x:c>
      <x:c r="D11" t="str">
        <x:v>التضخم/الاستخدام</x:v>
      </x:c>
      <x:c r="E11" t="str">
        <x:v>شبه ثابت</x:v>
      </x:c>
      <x:c r="F11" t="str"/>
    </x:row>
    <x:row r="12">
      <x:c r="A12" t="str">
        <x:v>نقل ومشتريات</x:v>
      </x:c>
      <x:c r="B12" s="84" t="n">
        <x:f>C12/12</x:f>
        <x:v>750</x:v>
      </x:c>
      <x:c r="C12" s="82" t="n">
        <x:v>9000</x:v>
      </x:c>
      <x:c r="D12" t="str">
        <x:v>التضخم/الاستخدام</x:v>
      </x:c>
      <x:c r="E12" t="str">
        <x:v>شبه ثابت</x:v>
      </x:c>
      <x:c r="F12" t="str"/>
    </x:row>
    <x:row r="13">
      <x:c r="A13" t="str">
        <x:v>مصروفات إدارية وبنكية</x:v>
      </x:c>
      <x:c r="B13" s="84" t="n">
        <x:f>C13/12</x:f>
        <x:v>833.3333333333334</x:v>
      </x:c>
      <x:c r="C13" s="82" t="n">
        <x:v>10000</x:v>
      </x:c>
      <x:c r="D13" t="str">
        <x:v>التضخم/الاستخدام</x:v>
      </x:c>
      <x:c r="E13" t="str">
        <x:v>شبه ثابت</x:v>
      </x:c>
      <x:c r="F13" t="str"/>
    </x:row>
    <x:row r="14">
      <x:c r="A14" t="str">
        <x:v>موسيقى وفعاليات وترخيص محتمل</x:v>
      </x:c>
      <x:c r="B14" s="84" t="n">
        <x:f>C14/12</x:f>
        <x:v>333.3333333333333</x:v>
      </x:c>
      <x:c r="C14" s="82" t="n">
        <x:v>4000</x:v>
      </x:c>
      <x:c r="D14" t="str">
        <x:v>التضخم/الاستخدام</x:v>
      </x:c>
      <x:c r="E14" t="str">
        <x:v>شبه ثابت</x:v>
      </x:c>
      <x:c r="F14" t="str"/>
    </x:row>
    <x:row r="15">
      <x:c r="A15" t="str">
        <x:v>احتياطي تشغيلي</x:v>
      </x:c>
      <x:c r="B15" s="84" t="n">
        <x:f>C15/12</x:f>
        <x:v>1166.6666666666667</x:v>
      </x:c>
      <x:c r="C15" s="82" t="n">
        <x:v>14000</x:v>
      </x:c>
      <x:c r="D15" t="str">
        <x:v>التضخم/الاستخدام</x:v>
      </x:c>
      <x:c r="E15" t="str">
        <x:v>شبه ثابت</x:v>
      </x:c>
      <x:c r="F15" t="str"/>
    </x:row>
    <x:row r="16">
      <x:c r="A16" s="52" t="str">
        <x:v>إجمالي غير العمالة</x:v>
      </x:c>
      <x:c r="B16" s="54"/>
      <x:c r="C16" s="54" t="n">
        <x:f>SUM(C4:C15)</x:f>
        <x:v>201000</x:v>
      </x:c>
      <x:c r="D16" s="52"/>
      <x:c r="E16" s="52"/>
      <x:c r="F16" s="52"/>
    </x:row>
    <x:row r="17">
      <x:c r="A17" t="str">
        <x:v>إجمالي العمالة</x:v>
      </x:c>
      <x:c r="B17" s="24"/>
      <x:c r="C17" s="87" t="n">
        <x:f>'CH - Payroll'!J20</x:f>
        <x:v>337817.25</x:v>
      </x:c>
    </x:row>
    <x:row r="18">
      <x:c r="A18" s="16" t="str">
        <x:v>إجمالي التشغيل قبل تكلفة المبيعات</x:v>
      </x:c>
      <x:c r="B18" s="60"/>
      <x:c r="C18" s="60" t="n">
        <x:f>SUM(C16:C17)</x:f>
        <x:v>538817.25</x:v>
      </x:c>
      <x:c r="D18" s="16"/>
      <x:c r="E18" s="16"/>
      <x:c r="F18" s="16"/>
    </x:row>
  </x:sheetData>
  <x:mergeCells>
    <x:mergeCell ref="A1:F1"/>
    <x:mergeCell ref="A16:B16"/>
    <x:mergeCell ref="A17:B17"/>
    <x:mergeCell ref="A18:B18"/>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29" t="str">
        <x:v>النموذج المالي لعشر سنوات - كوفي هاوس</x:v>
      </x:c>
      <x:c r="B1" s="29"/>
      <x:c r="C1" s="29"/>
      <x:c r="D1" s="29"/>
      <x:c r="E1" s="29"/>
      <x:c r="F1" s="29"/>
      <x:c r="G1" s="29"/>
      <x:c r="H1" s="29"/>
      <x:c r="I1" s="29"/>
      <x:c r="J1" s="29"/>
      <x:c r="K1" s="29"/>
      <x:c r="L1" s="29"/>
    </x:row>
    <x:row r="3">
      <x:c r="A3" s="19" t="str">
        <x:v>المؤشر</x:v>
      </x:c>
      <x:c r="B3" s="19" t="str">
        <x:v>سنة 1</x:v>
      </x:c>
      <x:c r="C3" s="19" t="str">
        <x:v>سنة 2</x:v>
      </x:c>
      <x:c r="D3" s="19" t="str">
        <x:v>سنة 3</x:v>
      </x:c>
      <x:c r="E3" s="19" t="str">
        <x:v>سنة 4</x:v>
      </x:c>
      <x:c r="F3" s="19" t="str">
        <x:v>سنة 5</x:v>
      </x:c>
      <x:c r="G3" s="19" t="str">
        <x:v>سنة 6</x:v>
      </x:c>
      <x:c r="H3" s="19" t="str">
        <x:v>سنة 7</x:v>
      </x:c>
      <x:c r="I3" s="19" t="str">
        <x:v>سنة 8</x:v>
      </x:c>
      <x:c r="J3" s="19" t="str">
        <x:v>سنة 9</x:v>
      </x:c>
      <x:c r="K3" s="19" t="str">
        <x:v>سنة 10</x:v>
      </x:c>
    </x:row>
    <x:row r="4">
      <x:c r="A4" t="str">
        <x:v>الإيرادات</x:v>
      </x:c>
      <x:c r="B4" s="84" t="n">
        <x:f>'Dynamic Inputs'!$B$40*'Dynamic Inputs'!$B$41*'Dynamic Inputs'!$B$42+'Dynamic Inputs'!$B$43</x:f>
        <x:v>711850</x:v>
      </x:c>
      <x:c r="C4" s="84" t="n">
        <x:f>B4*(1+'Dynamic Inputs'!$E$40)</x:f>
        <x:v>797272.0000000001</x:v>
      </x:c>
      <x:c r="D4" s="84" t="n">
        <x:f>C4*(1+'Dynamic Inputs'!$F$40)</x:f>
        <x:v>869026.4800000002</x:v>
      </x:c>
      <x:c r="E4" s="84" t="n">
        <x:f>D4*(1+'Dynamic Inputs'!$G$40)</x:f>
        <x:v>929858.3336000002</x:v>
      </x:c>
      <x:c r="F4" s="84" t="n">
        <x:f>E4*(1+'Dynamic Inputs'!$H$40)</x:f>
        <x:v>985649.8336160004</x:v>
      </x:c>
      <x:c r="G4" s="84" t="n">
        <x:f>F4*(1+'Dynamic Inputs'!$I$40)</x:f>
        <x:v>1034932.3252968005</x:v>
      </x:c>
      <x:c r="H4" s="84" t="n">
        <x:f>G4*(1+'Dynamic Inputs'!$J$40)</x:f>
        <x:v>1081504.2799351565</x:v>
      </x:c>
      <x:c r="I4" s="84" t="n">
        <x:f>H4*(1+'Dynamic Inputs'!$K$40)</x:f>
        <x:v>1124764.4511325627</x:v>
      </x:c>
      <x:c r="J4" s="84" t="n">
        <x:f>I4*(1+'Dynamic Inputs'!$L$40)</x:f>
        <x:v>1164131.2069222024</x:v>
      </x:c>
      <x:c r="K4" s="84" t="n">
        <x:f>J4*(1+'Dynamic Inputs'!$M$40)</x:f>
        <x:v>1199055.1431298684</x:v>
      </x:c>
    </x:row>
    <x:row r="5">
      <x:c r="A5" t="str">
        <x:v>تكلفة المواد/الخدمة</x:v>
      </x:c>
      <x:c r="B5" s="84" t="n">
        <x:f>B4*'Dynamic Inputs'!$B$44</x:f>
        <x:v>249147.49999999997</x:v>
      </x:c>
      <x:c r="C5" s="84" t="n">
        <x:f>C4*'Dynamic Inputs'!$B$44</x:f>
        <x:v>279045.2</x:v>
      </x:c>
      <x:c r="D5" s="84" t="n">
        <x:f>D4*'Dynamic Inputs'!$B$44</x:f>
        <x:v>304159.26800000004</x:v>
      </x:c>
      <x:c r="E5" s="84" t="n">
        <x:f>E4*'Dynamic Inputs'!$B$44</x:f>
        <x:v>325450.41676000005</x:v>
      </x:c>
      <x:c r="F5" s="84" t="n">
        <x:f>F4*'Dynamic Inputs'!$B$44</x:f>
        <x:v>344977.4417656001</x:v>
      </x:c>
      <x:c r="G5" s="84" t="n">
        <x:f>G4*'Dynamic Inputs'!$B$44</x:f>
        <x:v>362226.31385388016</x:v>
      </x:c>
      <x:c r="H5" s="84" t="n">
        <x:f>H4*'Dynamic Inputs'!$B$44</x:f>
        <x:v>378526.49797730474</x:v>
      </x:c>
      <x:c r="I5" s="84" t="n">
        <x:f>I4*'Dynamic Inputs'!$B$44</x:f>
        <x:v>393667.5578963969</x:v>
      </x:c>
      <x:c r="J5" s="84" t="n">
        <x:f>J4*'Dynamic Inputs'!$B$44</x:f>
        <x:v>407445.9224227708</x:v>
      </x:c>
      <x:c r="K5" s="84" t="n">
        <x:f>K4*'Dynamic Inputs'!$B$44</x:f>
        <x:v>419669.3000954539</x:v>
      </x:c>
    </x:row>
    <x:row r="6">
      <x:c r="A6" t="str">
        <x:v>مجمل الربح</x:v>
      </x:c>
      <x:c r="B6" s="84" t="n">
        <x:f>B4-B5</x:f>
        <x:v>462702.5</x:v>
      </x:c>
      <x:c r="C6" s="84" t="n">
        <x:f>C4-C5</x:f>
        <x:v>518226.8000000001</x:v>
      </x:c>
      <x:c r="D6" s="84" t="n">
        <x:f>D4-D5</x:f>
        <x:v>564867.2120000002</x:v>
      </x:c>
      <x:c r="E6" s="84" t="n">
        <x:f>E4-E5</x:f>
        <x:v>604407.9168400002</x:v>
      </x:c>
      <x:c r="F6" s="84" t="n">
        <x:f>F4-F5</x:f>
        <x:v>640672.3918504003</x:v>
      </x:c>
      <x:c r="G6" s="84" t="n">
        <x:f>G4-G5</x:f>
        <x:v>672706.0114429203</x:v>
      </x:c>
      <x:c r="H6" s="84" t="n">
        <x:f>H4-H5</x:f>
        <x:v>702977.7819578517</x:v>
      </x:c>
      <x:c r="I6" s="84" t="n">
        <x:f>I4-I5</x:f>
        <x:v>731096.8932361659</x:v>
      </x:c>
      <x:c r="J6" s="84" t="n">
        <x:f>J4-J5</x:f>
        <x:v>756685.2844994315</x:v>
      </x:c>
      <x:c r="K6" s="84" t="n">
        <x:f>K4-K5</x:f>
        <x:v>779385.8430344146</x:v>
      </x:c>
    </x:row>
    <x:row r="7">
      <x:c r="A7" t="str">
        <x:v>تكلفة العمالة</x:v>
      </x:c>
      <x:c r="B7" s="84" t="n">
        <x:f>'CH - Payroll'!J20</x:f>
        <x:v>337817.25</x:v>
      </x:c>
      <x:c r="C7" s="84" t="n">
        <x:f>B7*(1+'General Assumptions'!$B$9)</x:f>
        <x:v>351329.94</x:v>
      </x:c>
      <x:c r="D7" s="84" t="n">
        <x:f>C7*(1+'General Assumptions'!$B$9)</x:f>
        <x:v>365383.1376</x:v>
      </x:c>
      <x:c r="E7" s="84" t="n">
        <x:f>D7*(1+'General Assumptions'!$B$9)</x:f>
        <x:v>379998.463104</x:v>
      </x:c>
      <x:c r="F7" s="84" t="n">
        <x:f>E7*(1+'General Assumptions'!$B$9)</x:f>
        <x:v>395198.40162816003</x:v>
      </x:c>
      <x:c r="G7" s="84" t="n">
        <x:f>F7*(1+'General Assumptions'!$B$9)</x:f>
        <x:v>411006.3376932865</x:v>
      </x:c>
      <x:c r="H7" s="84" t="n">
        <x:f>G7*(1+'General Assumptions'!$B$9)</x:f>
        <x:v>427446.59120101796</x:v>
      </x:c>
      <x:c r="I7" s="84" t="n">
        <x:f>H7*(1+'General Assumptions'!$B$9)</x:f>
        <x:v>444544.4548490587</x:v>
      </x:c>
      <x:c r="J7" s="84" t="n">
        <x:f>I7*(1+'General Assumptions'!$B$9)</x:f>
        <x:v>462326.23304302106</x:v>
      </x:c>
      <x:c r="K7" s="84" t="n">
        <x:f>J7*(1+'General Assumptions'!$B$9)</x:f>
        <x:v>480819.2823647419</x:v>
      </x:c>
    </x:row>
    <x:row r="8">
      <x:c r="A8" t="str">
        <x:v>OPEX غير العمالة</x:v>
      </x:c>
      <x:c r="B8" s="84" t="n">
        <x:f>'CH - OPEX'!C16</x:f>
        <x:v>201000</x:v>
      </x:c>
      <x:c r="C8" s="84" t="n">
        <x:f>B8*(1+'General Assumptions'!$B$10)</x:f>
        <x:v>207030</x:v>
      </x:c>
      <x:c r="D8" s="84" t="n">
        <x:f>C8*(1+'General Assumptions'!$B$10)</x:f>
        <x:v>213240.9</x:v>
      </x:c>
      <x:c r="E8" s="84" t="n">
        <x:f>D8*(1+'General Assumptions'!$B$10)</x:f>
        <x:v>219638.127</x:v>
      </x:c>
      <x:c r="F8" s="84" t="n">
        <x:f>E8*(1+'General Assumptions'!$B$10)</x:f>
        <x:v>226227.27081000002</x:v>
      </x:c>
      <x:c r="G8" s="84" t="n">
        <x:f>F8*(1+'General Assumptions'!$B$10)</x:f>
        <x:v>233014.08893430003</x:v>
      </x:c>
      <x:c r="H8" s="84" t="n">
        <x:f>G8*(1+'General Assumptions'!$B$10)</x:f>
        <x:v>240004.51160232903</x:v>
      </x:c>
      <x:c r="I8" s="84" t="n">
        <x:f>H8*(1+'General Assumptions'!$B$10)</x:f>
        <x:v>247204.64695039892</x:v>
      </x:c>
      <x:c r="J8" s="84" t="n">
        <x:f>I8*(1+'General Assumptions'!$B$10)</x:f>
        <x:v>254620.7863589109</x:v>
      </x:c>
      <x:c r="K8" s="84" t="n">
        <x:f>J8*(1+'General Assumptions'!$B$10)</x:f>
        <x:v>262259.40994967823</x:v>
      </x:c>
    </x:row>
    <x:row r="9">
      <x:c r="A9" t="str">
        <x:v>EBITDA</x:v>
      </x:c>
      <x:c r="B9" s="84" t="n">
        <x:f>B6-B7-B8</x:f>
        <x:v>-76114.75</x:v>
      </x:c>
      <x:c r="C9" s="84" t="n">
        <x:f>C6-C7-C8</x:f>
        <x:v>-40133.1399999999</x:v>
      </x:c>
      <x:c r="D9" s="84" t="n">
        <x:f>D6-D7-D8</x:f>
        <x:v>-13756.825599999836</x:v>
      </x:c>
      <x:c r="E9" s="84" t="n">
        <x:f>E6-E7-E8</x:f>
        <x:v>4771.326736000163</x:v>
      </x:c>
      <x:c r="F9" s="84" t="n">
        <x:f>F6-F7-F8</x:f>
        <x:v>19246.7194122402</x:v>
      </x:c>
      <x:c r="G9" s="84" t="n">
        <x:f>G6-G7-G8</x:f>
        <x:v>28685.5848153338</x:v>
      </x:c>
      <x:c r="H9" s="84" t="n">
        <x:f>H6-H7-H8</x:f>
        <x:v>35526.67915450473</x:v>
      </x:c>
      <x:c r="I9" s="84" t="n">
        <x:f>I6-I7-I8</x:f>
        <x:v>39347.79143670824</x:v>
      </x:c>
      <x:c r="J9" s="84" t="n">
        <x:f>J6-J7-J8</x:f>
        <x:v>39738.265097499534</x:v>
      </x:c>
      <x:c r="K9" s="84" t="n">
        <x:f>K6-K7-K8</x:f>
        <x:v>36307.150719994446</x:v>
      </x:c>
    </x:row>
    <x:row r="10">
      <x:c r="A10" t="str">
        <x:v>هامش EBITDA</x:v>
      </x:c>
      <x:c r="B10" s="86" t="n">
        <x:f>IFERROR(B9/B4,0)</x:f>
        <x:v>-0.10692526515417573</x:v>
      </x:c>
      <x:c r="C10" s="86" t="n">
        <x:f>IFERROR(C9/C4,0)</x:f>
        <x:v>-0.050338077845452855</x:v>
      </x:c>
      <x:c r="D10" s="86" t="n">
        <x:f>IFERROR(D9/D4,0)</x:f>
        <x:v>-0.015830156982097752</x:v>
      </x:c>
      <x:c r="E10" s="86" t="n">
        <x:f>IFERROR(E9/E4,0)</x:f>
        <x:v>0.005131240495020027</x:v>
      </x:c>
      <x:c r="F10" s="86" t="n">
        <x:f>IFERROR(F9/F4,0)</x:f>
        <x:v>0.019526934166498866</x:v>
      </x:c>
      <x:c r="G10" s="86" t="n">
        <x:f>IFERROR(G9/G4,0)</x:f>
        <x:v>0.027717353216411784</x:v>
      </x:c>
      <x:c r="H10" s="86" t="n">
        <x:f>IFERROR(H9/H4,0)</x:f>
        <x:v>0.032849319058297945</x:v>
      </x:c>
      <x:c r="I10" s="86" t="n">
        <x:f>IFERROR(I9/I4,0)</x:f>
        <x:v>0.03498313926714846</x:v>
      </x:c>
      <x:c r="J10" s="86" t="n">
        <x:f>IFERROR(J9/J4,0)</x:f>
        <x:v>0.03413555522024177</x:v>
      </x:c>
      <x:c r="K10" s="86" t="n">
        <x:f>IFERROR(K9/K4,0)</x:f>
        <x:v>0.03027980066473228</x:v>
      </x:c>
    </x:row>
    <x:row r="11">
      <x:c r="A11" t="str">
        <x:v>الاستهلاك</x:v>
      </x:c>
      <x:c r="B11" s="84" t="n">
        <x:f>'CH - CAPEX'!B18*'General Assumptions'!$B$19</x:f>
        <x:v>55125</x:v>
      </x:c>
      <x:c r="C11" s="84" t="n">
        <x:f>'CH - CAPEX'!B18*'General Assumptions'!$B$19</x:f>
        <x:v>55125</x:v>
      </x:c>
      <x:c r="D11" s="84" t="n">
        <x:f>'CH - CAPEX'!B18*'General Assumptions'!$B$19</x:f>
        <x:v>55125</x:v>
      </x:c>
      <x:c r="E11" s="84" t="n">
        <x:f>'CH - CAPEX'!B18*'General Assumptions'!$B$19</x:f>
        <x:v>55125</x:v>
      </x:c>
      <x:c r="F11" s="84" t="n">
        <x:f>'CH - CAPEX'!B18*'General Assumptions'!$B$19</x:f>
        <x:v>55125</x:v>
      </x:c>
      <x:c r="G11" s="84" t="n">
        <x:f>'CH - CAPEX'!B18*'General Assumptions'!$B$19</x:f>
        <x:v>55125</x:v>
      </x:c>
      <x:c r="H11" s="84" t="n">
        <x:f>'CH - CAPEX'!B18*'General Assumptions'!$B$19</x:f>
        <x:v>55125</x:v>
      </x:c>
      <x:c r="I11" s="84" t="n">
        <x:f>'CH - CAPEX'!B18*'General Assumptions'!$B$19</x:f>
        <x:v>55125</x:v>
      </x:c>
      <x:c r="J11" s="84" t="n">
        <x:f>'CH - CAPEX'!B18*'General Assumptions'!$B$19</x:f>
        <x:v>55125</x:v>
      </x:c>
      <x:c r="K11" s="84" t="n">
        <x:f>'CH - CAPEX'!B18*'General Assumptions'!$B$19</x:f>
        <x:v>55125</x:v>
      </x:c>
    </x:row>
    <x:row r="12">
      <x:c r="A12" t="str">
        <x:v>صافي الربح</x:v>
      </x:c>
      <x:c r="B12" s="84" t="n">
        <x:f>B9-B11-B44-B45</x:f>
        <x:v>-157699.75</x:v>
      </x:c>
      <x:c r="C12" s="84" t="n">
        <x:f>C9-C11-C44-C45</x:f>
        <x:v>-118410.6399999999</x:v>
      </x:c>
      <x:c r="D12" s="84" t="n">
        <x:f>D9-D11-D44-D45</x:f>
        <x:v>-88726.82559999984</x:v>
      </x:c>
      <x:c r="E12" s="84" t="n">
        <x:f>E9-E11-E44-E45</x:f>
        <x:v>-66891.17326399984</x:v>
      </x:c>
      <x:c r="F12" s="84" t="n">
        <x:f>F9-F11-F44-F45</x:f>
        <x:v>-49108.2805877598</x:v>
      </x:c>
      <x:c r="G12" s="84" t="n">
        <x:f>G9-G11-G44-G45</x:f>
        <x:v>-36361.9151846662</x:v>
      </x:c>
      <x:c r="H12" s="84" t="n">
        <x:f>H9-H11-H44-H45</x:f>
        <x:v>-26213.32084549527</x:v>
      </x:c>
      <x:c r="I12" s="84" t="n">
        <x:f>I9-I11-I44-I45</x:f>
        <x:v>-19084.70856329176</x:v>
      </x:c>
      <x:c r="J12" s="84" t="n">
        <x:f>J9-J11-J44-J45</x:f>
        <x:v>-15386.734902500466</x:v>
      </x:c>
      <x:c r="K12" s="84" t="n">
        <x:f>K9-K11-K44-K45</x:f>
        <x:v>-18817.849280005554</x:v>
      </x:c>
    </x:row>
    <x:row r="13">
      <x:c r="A13" t="str">
        <x:v>التدفق النقدي الحر</x:v>
      </x:c>
      <x:c r="B13" s="84" t="n">
        <x:f>B49</x:f>
        <x:v>-103602.8</x:v>
      </x:c>
      <x:c r="C13" s="84" t="n">
        <x:f>C49</x:f>
        <x:v>-37231.83199999992</x:v>
      </x:c>
      <x:c r="D13" s="84" t="n">
        <x:f>D49</x:f>
        <x:v>-15310.729279999876</x:v>
      </x:c>
      <x:c r="E13" s="84" t="n">
        <x:f>E49</x:f>
        <x:v>167.15017280012398</x:v>
      </x:c>
      <x:c r="F13" s="84" t="n">
        <x:f>F49</x:f>
        <x:v>12049.88552883215</x:v>
      </x:c>
      <x:c r="G13" s="84" t="n">
        <x:f>G49</x:f>
        <x:v>19991.518351419043</x:v>
      </x:c>
      <x:c r="H13" s="84" t="n">
        <x:f>H49</x:f>
        <x:v>25627.026045302417</x:v>
      </x:c>
      <x:c r="I13" s="84" t="n">
        <x:f>I49</x:f>
        <x:v>28882.62287752222</x:v>
      </x:c>
      <x:c r="J13" s="84" t="n">
        <x:f>J49</x:f>
        <x:v>29428.60673062125</x:v>
      </x:c>
      <x:c r="K13" s="84" t="n">
        <x:f>K49</x:f>
        <x:v>26950.284403535596</x:v>
      </x:c>
    </x:row>
    <x:row r="14">
      <x:c r="A14" t="str">
        <x:v>DSCR</x:v>
      </x:c>
      <x:c r="B14" s="89" t="n">
        <x:f>IF(1&lt;='Dynamic Inputs'!$B$46,IFERROR((B9-B45)/(('CH - CAPEX'!$B$18*'Dynamic Inputs'!$B$45)*'General Assumptions'!$B$6/(1-(1+'General Assumptions'!$B$6)^(-'Dynamic Inputs'!$B$46))),0),0)</x:f>
        <x:v>-1.432929840864595</x:v>
      </x:c>
      <x:c r="C14" s="89" t="n">
        <x:f>IF(2&lt;='Dynamic Inputs'!$B$46,IFERROR((C9-C45)/(('CH - CAPEX'!$B$18*'Dynamic Inputs'!$B$45)*'General Assumptions'!$B$6/(1-(1+'General Assumptions'!$B$6)^(-'Dynamic Inputs'!$B$46))),0),0)</x:f>
        <x:v>-0.7555430966218291</x:v>
      </x:c>
      <x:c r="D14" s="89" t="n">
        <x:f>IF(3&lt;='Dynamic Inputs'!$B$46,IFERROR((D9-D45)/(('CH - CAPEX'!$B$18*'Dynamic Inputs'!$B$45)*'General Assumptions'!$B$6/(1-(1+'General Assumptions'!$B$6)^(-'Dynamic Inputs'!$B$46))),0),0)</x:f>
        <x:v>-0.25898483431673563</x:v>
      </x:c>
      <x:c r="E14" s="89" t="n">
        <x:f>IF(4&lt;='Dynamic Inputs'!$B$46,IFERROR((E9-E45)/(('CH - CAPEX'!$B$18*'Dynamic Inputs'!$B$45)*'General Assumptions'!$B$6/(1-(1+'General Assumptions'!$B$6)^(-'Dynamic Inputs'!$B$46))),0),0)</x:f>
        <x:v>0.08982459326910619</x:v>
      </x:c>
      <x:c r="F14" s="89" t="n">
        <x:f>IF(5&lt;='Dynamic Inputs'!$B$46,IFERROR((F9-F45)/(('CH - CAPEX'!$B$18*'Dynamic Inputs'!$B$45)*'General Assumptions'!$B$6/(1-(1+'General Assumptions'!$B$6)^(-'Dynamic Inputs'!$B$46))),0),0)</x:f>
        <x:v>0.36233711054095114</x:v>
      </x:c>
      <x:c r="G14" s="89" t="n">
        <x:f>IF(6&lt;='Dynamic Inputs'!$B$46,IFERROR((G9-G45)/(('CH - CAPEX'!$B$18*'Dynamic Inputs'!$B$45)*'General Assumptions'!$B$6/(1-(1+'General Assumptions'!$B$6)^(-'Dynamic Inputs'!$B$46))),0),0)</x:f>
        <x:v>0.5400323916789336</x:v>
      </x:c>
      <x:c r="H14" s="89" t="n">
        <x:f>IF(7&lt;='Dynamic Inputs'!$B$46,IFERROR((H9-H45)/(('CH - CAPEX'!$B$18*'Dynamic Inputs'!$B$45)*'General Assumptions'!$B$6/(1-(1+'General Assumptions'!$B$6)^(-'Dynamic Inputs'!$B$46))),0),0)</x:f>
        <x:v>0.6688222546525081</x:v>
      </x:c>
      <x:c r="I14" s="89" t="n">
        <x:f>IF(8&lt;='Dynamic Inputs'!$B$46,IFERROR((I9-I45)/(('CH - CAPEX'!$B$18*'Dynamic Inputs'!$B$45)*'General Assumptions'!$B$6/(1-(1+'General Assumptions'!$B$6)^(-'Dynamic Inputs'!$B$46))),0),0)</x:f>
        <x:v>0.7407581910441223</x:v>
      </x:c>
      <x:c r="J14" s="89" t="n">
        <x:f>IF(9&lt;='Dynamic Inputs'!$B$46,IFERROR((J9-J45)/(('CH - CAPEX'!$B$18*'Dynamic Inputs'!$B$45)*'General Assumptions'!$B$6/(1-(1+'General Assumptions'!$B$6)^(-'Dynamic Inputs'!$B$46))),0),0)</x:f>
        <x:v>0</x:v>
      </x:c>
      <x:c r="K14" s="89" t="n">
        <x:f>IF(10&lt;='Dynamic Inputs'!$B$46,IFERROR((K9-K45)/(('CH - CAPEX'!$B$18*'Dynamic Inputs'!$B$45)*'General Assumptions'!$B$6/(1-(1+'General Assumptions'!$B$6)^(-'Dynamic Inputs'!$B$46))),0),0)</x:f>
        <x:v>0</x:v>
      </x:c>
    </x:row>
    <x:row r="16">
      <x:c r="A16" s="19" t="str">
        <x:v>المؤشر</x:v>
      </x:c>
      <x:c r="B16" s="19" t="str">
        <x:v>دون الأرض</x:v>
      </x:c>
      <x:c r="C16" s="19" t="str">
        <x:v>مع الأرض</x:v>
      </x:c>
      <x:c r="D16" s="19" t="str">
        <x:v>قرار</x:v>
      </x:c>
      <x:c r="E16" s="19" t="str">
        <x:v>حد القبول</x:v>
      </x:c>
      <x:c r="F16" s="19" t="str">
        <x:v>ملاحظة</x:v>
      </x:c>
    </x:row>
    <x:row r="17">
      <x:c r="A17" t="str">
        <x:v>CAPEX</x:v>
      </x:c>
      <x:c r="B17" s="24" t="n">
        <x:f>'CH - CAPEX'!B18</x:f>
        <x:v>735000</x:v>
      </x:c>
      <x:c r="C17" s="24" t="n">
        <x:f>'CH - CAPEX'!B20</x:f>
        <x:v>1535000</x:v>
      </x:c>
      <x:c r="D17" t="str">
        <x:v>يحتاج إعادة تصميم</x:v>
      </x:c>
      <x:c r="E17" t="str"/>
      <x:c r="F17" t="str"/>
    </x:row>
    <x:row r="18">
      <x:c r="A18" t="str">
        <x:v>NPV</x:v>
      </x:c>
      <x:c r="B18" s="24" t="n">
        <x:f>B51+C51/(1+'General Assumptions'!$B$5)^1+D51/(1+'General Assumptions'!$B$5)^2+E51/(1+'General Assumptions'!$B$5)^3+F51/(1+'General Assumptions'!$B$5)^4+G51/(1+'General Assumptions'!$B$5)^5+H51/(1+'General Assumptions'!$B$5)^6+I51/(1+'General Assumptions'!$B$5)^7+J51/(1+'General Assumptions'!$B$5)^8+K51/(1+'General Assumptions'!$B$5)^9+L51/(1+'General Assumptions'!$B$5)^10</x:f>
        <x:v>-445995.2513169341</x:v>
      </x:c>
      <x:c r="C18" s="24" t="n">
        <x:f>B52+C52/(1+'General Assumptions'!$B$5)^1+D52/(1+'General Assumptions'!$B$5)^2+E52/(1+'General Assumptions'!$B$5)^3+F52/(1+'General Assumptions'!$B$5)^4+G52/(1+'General Assumptions'!$B$5)^5+H52/(1+'General Assumptions'!$B$5)^6+I52/(1+'General Assumptions'!$B$5)^7+J52/(1+'General Assumptions'!$B$5)^8+K52/(1+'General Assumptions'!$B$5)^9+L52/(1+'General Assumptions'!$B$5)^10</x:f>
        <x:v>-1245995.251316934</x:v>
      </x:c>
      <x:c r="D18" t="str">
        <x:v>يُقبل إذا موجب بعد الأرض</x:v>
      </x:c>
      <x:c r="E18" s="24" t="n">
        <x:v>0</x:v>
      </x:c>
      <x:c r="F18" t="str"/>
    </x:row>
    <x:row r="19">
      <x:c r="A19" t="str">
        <x:v>IRR</x:v>
      </x:c>
      <x:c r="B19" s="26" t="n">
        <x:f>IRR(B51:L51)</x:f>
        <x:v>-0.06124817179423715</x:v>
      </x:c>
      <x:c r="C19" s="26" t="n">
        <x:f>IRR(B52:L52)</x:f>
        <x:v>-0.14344066218258827</x:v>
      </x:c>
      <x:c r="D19" t="str">
        <x:v>يُقارن بمعدل الخصم</x:v>
      </x:c>
      <x:c r="E19" s="26" t="n">
        <x:v>0.115</x:v>
      </x:c>
      <x:c r="F19" t="str"/>
    </x:row>
    <x:row r="20">
      <x:c r="A20" t="str">
        <x:v>فترة الاسترداد</x:v>
      </x:c>
      <x:c r="B20" t="n">
        <x:f>COUNTIF(B53:L53,"&lt;0")</x:f>
        <x:v>11</x:v>
      </x:c>
      <x:c r="C20" t="n">
        <x:f>COUNTIF(B54:L54,"&lt;0")</x:f>
        <x:v>11</x:v>
      </x:c>
      <x:c r="D20" t="str">
        <x:v>الأقصر أفضل</x:v>
      </x:c>
      <x:c r="E20" t="n">
        <x:v>7</x:v>
      </x:c>
      <x:c r="F20" t="str">
        <x:v>سنة</x:v>
      </x:c>
    </x:row>
    <x:row r="21">
      <x:c r="A21" t="str">
        <x:v>أدنى DSCR</x:v>
      </x:c>
      <x:c r="B21" s="62" t="n">
        <x:f>MIN(B14:INDEX(B14:K14,1,'Dynamic Inputs'!$B$46))</x:f>
        <x:v>-1.432929840864595</x:v>
      </x:c>
      <x:c r="C21" s="62" t="n">
        <x:f>B21</x:f>
        <x:v>-1.432929840864595</x:v>
      </x:c>
      <x:c r="D21" t="str">
        <x:v>يجب ألا يقل عن 1.30x</x:v>
      </x:c>
      <x:c r="E21" s="62" t="n">
        <x:v>1.3</x:v>
      </x:c>
      <x:c r="F21" t="str"/>
    </x:row>
    <x:row r="42">
      <x:c r="A42" s="91" t="str">
        <x:v>حسابات مساندة</x:v>
      </x:c>
      <x:c r="B42" s="92" t="str">
        <x:v>سنة 1</x:v>
      </x:c>
      <x:c r="C42" s="92" t="str">
        <x:v>سنة 2</x:v>
      </x:c>
      <x:c r="D42" s="92" t="str">
        <x:v>سنة 3</x:v>
      </x:c>
      <x:c r="E42" s="92" t="str">
        <x:v>سنة 4</x:v>
      </x:c>
      <x:c r="F42" s="92" t="str">
        <x:v>سنة 5</x:v>
      </x:c>
      <x:c r="G42" s="92" t="str">
        <x:v>سنة 6</x:v>
      </x:c>
      <x:c r="H42" s="92" t="str">
        <x:v>سنة 7</x:v>
      </x:c>
      <x:c r="I42" s="92" t="str">
        <x:v>سنة 8</x:v>
      </x:c>
      <x:c r="J42" s="92" t="str">
        <x:v>سنة 9</x:v>
      </x:c>
      <x:c r="K42" s="92" t="str">
        <x:v>سنة 10</x:v>
      </x:c>
      <x:c r="L42" s="95"/>
    </x:row>
    <x:row r="43">
      <x:c r="A43" s="96" t="str">
        <x:v>رصيد الدين التقريبي</x:v>
      </x:c>
      <x:c r="B43" s="95" t="n">
        <x:f>MAX(0,'CH - CAPEX'!$B$18*'Dynamic Inputs'!$B$45*(1-(1-1)/'Dynamic Inputs'!$B$46))</x:f>
        <x:v>294000</x:v>
      </x:c>
      <x:c r="C43" s="95" t="n">
        <x:f>MAX(0,'CH - CAPEX'!$B$18*'Dynamic Inputs'!$B$45*(1-(2-1)/'Dynamic Inputs'!$B$46))</x:f>
        <x:v>257250</x:v>
      </x:c>
      <x:c r="D43" s="95" t="n">
        <x:f>MAX(0,'CH - CAPEX'!$B$18*'Dynamic Inputs'!$B$45*(1-(3-1)/'Dynamic Inputs'!$B$46))</x:f>
        <x:v>220500</x:v>
      </x:c>
      <x:c r="E43" s="95" t="n">
        <x:f>MAX(0,'CH - CAPEX'!$B$18*'Dynamic Inputs'!$B$45*(1-(4-1)/'Dynamic Inputs'!$B$46))</x:f>
        <x:v>183750</x:v>
      </x:c>
      <x:c r="F43" s="95" t="n">
        <x:f>MAX(0,'CH - CAPEX'!$B$18*'Dynamic Inputs'!$B$45*(1-(5-1)/'Dynamic Inputs'!$B$46))</x:f>
        <x:v>147000</x:v>
      </x:c>
      <x:c r="G43" s="95" t="n">
        <x:f>MAX(0,'CH - CAPEX'!$B$18*'Dynamic Inputs'!$B$45*(1-(6-1)/'Dynamic Inputs'!$B$46))</x:f>
        <x:v>110250</x:v>
      </x:c>
      <x:c r="H43" s="95" t="n">
        <x:f>MAX(0,'CH - CAPEX'!$B$18*'Dynamic Inputs'!$B$45*(1-(7-1)/'Dynamic Inputs'!$B$46))</x:f>
        <x:v>73500</x:v>
      </x:c>
      <x:c r="I43" s="95" t="n">
        <x:f>MAX(0,'CH - CAPEX'!$B$18*'Dynamic Inputs'!$B$45*(1-(8-1)/'Dynamic Inputs'!$B$46))</x:f>
        <x:v>36750</x:v>
      </x:c>
      <x:c r="J43" s="95" t="n">
        <x:f>MAX(0,'CH - CAPEX'!$B$18*'Dynamic Inputs'!$B$45*(1-(9-1)/'Dynamic Inputs'!$B$46))</x:f>
        <x:v>0</x:v>
      </x:c>
      <x:c r="K43" s="95" t="n">
        <x:f>MAX(0,'CH - CAPEX'!$B$18*'Dynamic Inputs'!$B$45*(1-(10-1)/'Dynamic Inputs'!$B$46))</x:f>
        <x:v>0</x:v>
      </x:c>
      <x:c r="L43" s="95"/>
    </x:row>
    <x:row r="44">
      <x:c r="A44" s="96" t="str">
        <x:v>الفائدة</x:v>
      </x:c>
      <x:c r="B44" s="95" t="n">
        <x:f>IF(1&lt;='Dynamic Inputs'!$B$46,B43*'General Assumptions'!$B$6,0)</x:f>
        <x:v>26460</x:v>
      </x:c>
      <x:c r="C44" s="95" t="n">
        <x:f>IF(2&lt;='Dynamic Inputs'!$B$46,C43*'General Assumptions'!$B$6,0)</x:f>
        <x:v>23152.5</x:v>
      </x:c>
      <x:c r="D44" s="95" t="n">
        <x:f>IF(3&lt;='Dynamic Inputs'!$B$46,D43*'General Assumptions'!$B$6,0)</x:f>
        <x:v>19845</x:v>
      </x:c>
      <x:c r="E44" s="95" t="n">
        <x:f>IF(4&lt;='Dynamic Inputs'!$B$46,E43*'General Assumptions'!$B$6,0)</x:f>
        <x:v>16537.5</x:v>
      </x:c>
      <x:c r="F44" s="95" t="n">
        <x:f>IF(5&lt;='Dynamic Inputs'!$B$46,F43*'General Assumptions'!$B$6,0)</x:f>
        <x:v>13230</x:v>
      </x:c>
      <x:c r="G44" s="95" t="n">
        <x:f>IF(6&lt;='Dynamic Inputs'!$B$46,G43*'General Assumptions'!$B$6,0)</x:f>
        <x:v>9922.5</x:v>
      </x:c>
      <x:c r="H44" s="95" t="n">
        <x:f>IF(7&lt;='Dynamic Inputs'!$B$46,H43*'General Assumptions'!$B$6,0)</x:f>
        <x:v>6615</x:v>
      </x:c>
      <x:c r="I44" s="95" t="n">
        <x:f>IF(8&lt;='Dynamic Inputs'!$B$46,I43*'General Assumptions'!$B$6,0)</x:f>
        <x:v>3307.5</x:v>
      </x:c>
      <x:c r="J44" s="95" t="n">
        <x:f>IF(9&lt;='Dynamic Inputs'!$B$46,J43*'General Assumptions'!$B$6,0)</x:f>
        <x:v>0</x:v>
      </x:c>
      <x:c r="K44" s="95" t="n">
        <x:f>IF(10&lt;='Dynamic Inputs'!$B$46,K43*'General Assumptions'!$B$6,0)</x:f>
        <x:v>0</x:v>
      </x:c>
      <x:c r="L44" s="95"/>
    </x:row>
    <x:row r="45">
      <x:c r="A45" s="96" t="str">
        <x:v>الضريبة</x:v>
      </x:c>
      <x:c r="B45" s="95" t="n">
        <x:f>MAX(0,B9-B11-B44)*'General Assumptions'!$B$7</x:f>
        <x:v>0</x:v>
      </x:c>
      <x:c r="C45" s="95" t="n">
        <x:f>MAX(0,C9-C11-C44)*'General Assumptions'!$B$7</x:f>
        <x:v>0</x:v>
      </x:c>
      <x:c r="D45" s="95" t="n">
        <x:f>MAX(0,D9-D11-D44)*'General Assumptions'!$B$7</x:f>
        <x:v>0</x:v>
      </x:c>
      <x:c r="E45" s="95" t="n">
        <x:f>MAX(0,E9-E11-E44)*'General Assumptions'!$B$7</x:f>
        <x:v>0</x:v>
      </x:c>
      <x:c r="F45" s="95" t="n">
        <x:f>MAX(0,F9-F11-F44)*'General Assumptions'!$B$7</x:f>
        <x:v>0</x:v>
      </x:c>
      <x:c r="G45" s="95" t="n">
        <x:f>MAX(0,G9-G11-G44)*'General Assumptions'!$B$7</x:f>
        <x:v>0</x:v>
      </x:c>
      <x:c r="H45" s="95" t="n">
        <x:f>MAX(0,H9-H11-H44)*'General Assumptions'!$B$7</x:f>
        <x:v>0</x:v>
      </x:c>
      <x:c r="I45" s="95" t="n">
        <x:f>MAX(0,I9-I11-I44)*'General Assumptions'!$B$7</x:f>
        <x:v>0</x:v>
      </x:c>
      <x:c r="J45" s="95" t="n">
        <x:f>MAX(0,J9-J11-J44)*'General Assumptions'!$B$7</x:f>
        <x:v>0</x:v>
      </x:c>
      <x:c r="K45" s="95" t="n">
        <x:f>MAX(0,K9-K11-K44)*'General Assumptions'!$B$7</x:f>
        <x:v>0</x:v>
      </x:c>
      <x:c r="L45" s="95"/>
    </x:row>
    <x:row r="46">
      <x:c r="A46" s="96" t="str">
        <x:v>رأس المال العامل</x:v>
      </x:c>
      <x:c r="B46" s="95" t="n">
        <x:f>B4*'General Assumptions'!$B$16</x:f>
        <x:v>42711</x:v>
      </x:c>
      <x:c r="C46" s="95" t="n">
        <x:f>C4*'General Assumptions'!$B$16</x:f>
        <x:v>47836.32000000001</x:v>
      </x:c>
      <x:c r="D46" s="95" t="n">
        <x:f>D4*'General Assumptions'!$B$16</x:f>
        <x:v>52141.58880000001</x:v>
      </x:c>
      <x:c r="E46" s="95" t="n">
        <x:f>E4*'General Assumptions'!$B$16</x:f>
        <x:v>55791.50001600001</x:v>
      </x:c>
      <x:c r="F46" s="95" t="n">
        <x:f>F4*'General Assumptions'!$B$16</x:f>
        <x:v>59138.99001696002</x:v>
      </x:c>
      <x:c r="G46" s="95" t="n">
        <x:f>G4*'General Assumptions'!$B$16</x:f>
        <x:v>62095.93951780802</x:v>
      </x:c>
      <x:c r="H46" s="95" t="n">
        <x:f>H4*'General Assumptions'!$B$16</x:f>
        <x:v>64890.25679610939</x:v>
      </x:c>
      <x:c r="I46" s="95" t="n">
        <x:f>I4*'General Assumptions'!$B$16</x:f>
        <x:v>67485.86706795376</x:v>
      </x:c>
      <x:c r="J46" s="95" t="n">
        <x:f>J4*'General Assumptions'!$B$16</x:f>
        <x:v>69847.87241533214</x:v>
      </x:c>
      <x:c r="K46" s="95" t="n">
        <x:f>K4*'General Assumptions'!$B$16</x:f>
        <x:v>71943.3085877921</x:v>
      </x:c>
      <x:c r="L46" s="95"/>
    </x:row>
    <x:row r="47">
      <x:c r="A47" s="96" t="str">
        <x:v>التغير في رأس المال العامل</x:v>
      </x:c>
      <x:c r="B47" s="95" t="n">
        <x:f>B46</x:f>
        <x:v>42711</x:v>
      </x:c>
      <x:c r="C47" s="95" t="n">
        <x:f>C46-B46</x:f>
        <x:v>5125.320000000007</x:v>
      </x:c>
      <x:c r="D47" s="95" t="n">
        <x:f>D46-C46</x:f>
        <x:v>4305.268800000005</x:v>
      </x:c>
      <x:c r="E47" s="95" t="n">
        <x:f>E46-D46</x:f>
        <x:v>3649.9112160000004</x:v>
      </x:c>
      <x:c r="F47" s="95" t="n">
        <x:f>F46-E46</x:f>
        <x:v>3347.4900009600096</x:v>
      </x:c>
      <x:c r="G47" s="95" t="n">
        <x:f>G46-F46</x:f>
        <x:v>2956.9495008480008</x:v>
      </x:c>
      <x:c r="H47" s="95" t="n">
        <x:f>H46-G46</x:f>
        <x:v>2794.317278301365</x:v>
      </x:c>
      <x:c r="I47" s="95" t="n">
        <x:f>I46-H46</x:f>
        <x:v>2595.6102718443726</x:v>
      </x:c>
      <x:c r="J47" s="95" t="n">
        <x:f>J46-I46</x:f>
        <x:v>2362.0053473783773</x:v>
      </x:c>
      <x:c r="K47" s="95" t="n">
        <x:f>K46-J46</x:f>
        <x:v>2095.4361724599585</x:v>
      </x:c>
      <x:c r="L47" s="95"/>
    </x:row>
    <x:row r="48">
      <x:c r="A48" s="96" t="str">
        <x:v>الصيانة الرأسمالية</x:v>
      </x:c>
      <x:c r="B48" s="95" t="n">
        <x:f>'CH - CAPEX'!$B$18*'General Assumptions'!$B$18</x:f>
        <x:v>11025</x:v>
      </x:c>
      <x:c r="C48" s="95" t="n">
        <x:f>'CH - CAPEX'!$B$18*'General Assumptions'!$B$18</x:f>
        <x:v>11025</x:v>
      </x:c>
      <x:c r="D48" s="95" t="n">
        <x:f>'CH - CAPEX'!$B$18*'General Assumptions'!$B$18</x:f>
        <x:v>11025</x:v>
      </x:c>
      <x:c r="E48" s="95" t="n">
        <x:f>'CH - CAPEX'!$B$18*'General Assumptions'!$B$18</x:f>
        <x:v>11025</x:v>
      </x:c>
      <x:c r="F48" s="95" t="n">
        <x:f>'CH - CAPEX'!$B$18*'General Assumptions'!$B$18</x:f>
        <x:v>11025</x:v>
      </x:c>
      <x:c r="G48" s="95" t="n">
        <x:f>'CH - CAPEX'!$B$18*'General Assumptions'!$B$18</x:f>
        <x:v>11025</x:v>
      </x:c>
      <x:c r="H48" s="95" t="n">
        <x:f>'CH - CAPEX'!$B$18*'General Assumptions'!$B$18</x:f>
        <x:v>11025</x:v>
      </x:c>
      <x:c r="I48" s="95" t="n">
        <x:f>'CH - CAPEX'!$B$18*'General Assumptions'!$B$18</x:f>
        <x:v>11025</x:v>
      </x:c>
      <x:c r="J48" s="95" t="n">
        <x:f>'CH - CAPEX'!$B$18*'General Assumptions'!$B$18</x:f>
        <x:v>11025</x:v>
      </x:c>
      <x:c r="K48" s="95" t="n">
        <x:f>'CH - CAPEX'!$B$18*'General Assumptions'!$B$18</x:f>
        <x:v>11025</x:v>
      </x:c>
      <x:c r="L48" s="95"/>
    </x:row>
    <x:row r="49">
      <x:c r="A49" s="96" t="str">
        <x:v>التدفق دون القيمة النهائية</x:v>
      </x:c>
      <x:c r="B49" s="95" t="n">
        <x:f>(B9-B11)*(1-'General Assumptions'!$B$7)+B11-B48-B47</x:f>
        <x:v>-103602.8</x:v>
      </x:c>
      <x:c r="C49" s="95" t="n">
        <x:f>(C9-C11)*(1-'General Assumptions'!$B$7)+C11-C48-C47</x:f>
        <x:v>-37231.83199999992</x:v>
      </x:c>
      <x:c r="D49" s="95" t="n">
        <x:f>(D9-D11)*(1-'General Assumptions'!$B$7)+D11-D48-D47</x:f>
        <x:v>-15310.729279999876</x:v>
      </x:c>
      <x:c r="E49" s="95" t="n">
        <x:f>(E9-E11)*(1-'General Assumptions'!$B$7)+E11-E48-E47</x:f>
        <x:v>167.15017280012398</x:v>
      </x:c>
      <x:c r="F49" s="95" t="n">
        <x:f>(F9-F11)*(1-'General Assumptions'!$B$7)+F11-F48-F47</x:f>
        <x:v>12049.88552883215</x:v>
      </x:c>
      <x:c r="G49" s="95" t="n">
        <x:f>(G9-G11)*(1-'General Assumptions'!$B$7)+G11-G48-G47</x:f>
        <x:v>19991.518351419043</x:v>
      </x:c>
      <x:c r="H49" s="95" t="n">
        <x:f>(H9-H11)*(1-'General Assumptions'!$B$7)+H11-H48-H47</x:f>
        <x:v>25627.026045302417</x:v>
      </x:c>
      <x:c r="I49" s="95" t="n">
        <x:f>(I9-I11)*(1-'General Assumptions'!$B$7)+I11-I48-I47</x:f>
        <x:v>28882.62287752222</x:v>
      </x:c>
      <x:c r="J49" s="95" t="n">
        <x:f>(J9-J11)*(1-'General Assumptions'!$B$7)+J11-J48-J47</x:f>
        <x:v>29428.60673062125</x:v>
      </x:c>
      <x:c r="K49" s="95" t="n">
        <x:f>(K9-K11)*(1-'General Assumptions'!$B$7)+K11-K48-K47</x:f>
        <x:v>26950.284403535596</x:v>
      </x:c>
      <x:c r="L49" s="95"/>
    </x:row>
    <x:row r="50">
      <x:c r="A50" s="96" t="str">
        <x:v>التدفق مع القيمة النهائية</x:v>
      </x:c>
      <x:c r="B50" s="95" t="n">
        <x:f>B49</x:f>
        <x:v>-103602.8</x:v>
      </x:c>
      <x:c r="C50" s="95" t="n">
        <x:f>C49</x:f>
        <x:v>-37231.83199999992</x:v>
      </x:c>
      <x:c r="D50" s="95" t="n">
        <x:f>D49</x:f>
        <x:v>-15310.729279999876</x:v>
      </x:c>
      <x:c r="E50" s="95" t="n">
        <x:f>E49</x:f>
        <x:v>167.15017280012398</x:v>
      </x:c>
      <x:c r="F50" s="95" t="n">
        <x:f>F49</x:f>
        <x:v>12049.88552883215</x:v>
      </x:c>
      <x:c r="G50" s="95" t="n">
        <x:f>G49</x:f>
        <x:v>19991.518351419043</x:v>
      </x:c>
      <x:c r="H50" s="95" t="n">
        <x:f>H49</x:f>
        <x:v>25627.026045302417</x:v>
      </x:c>
      <x:c r="I50" s="95" t="n">
        <x:f>I49</x:f>
        <x:v>28882.62287752222</x:v>
      </x:c>
      <x:c r="J50" s="95" t="n">
        <x:f>J49</x:f>
        <x:v>29428.60673062125</x:v>
      </x:c>
      <x:c r="K50" s="95" t="n">
        <x:f>K49+MAX(0,K9)*'Dynamic Inputs'!$B$47</x:f>
        <x:v>226639.61336350505</x:v>
      </x:c>
      <x:c r="L50" s="95"/>
    </x:row>
    <x:row r="51">
      <x:c r="A51" s="96" t="str">
        <x:v>التدفقات دون الأرض</x:v>
      </x:c>
      <x:c r="B51" s="95" t="n">
        <x:f>-('CH - CAPEX'!$B$18*(1-'Dynamic Inputs'!$B$45))</x:f>
        <x:v>-441000</x:v>
      </x:c>
      <x:c r="C51" s="95" t="n">
        <x:f>B50</x:f>
        <x:v>-103602.8</x:v>
      </x:c>
      <x:c r="D51" s="95" t="n">
        <x:f>C50</x:f>
        <x:v>-37231.83199999992</x:v>
      </x:c>
      <x:c r="E51" s="95" t="n">
        <x:f>D50</x:f>
        <x:v>-15310.729279999876</x:v>
      </x:c>
      <x:c r="F51" s="95" t="n">
        <x:f>E50</x:f>
        <x:v>167.15017280012398</x:v>
      </x:c>
      <x:c r="G51" s="95" t="n">
        <x:f>F50</x:f>
        <x:v>12049.88552883215</x:v>
      </x:c>
      <x:c r="H51" s="95" t="n">
        <x:f>G50</x:f>
        <x:v>19991.518351419043</x:v>
      </x:c>
      <x:c r="I51" s="95" t="n">
        <x:f>H50</x:f>
        <x:v>25627.026045302417</x:v>
      </x:c>
      <x:c r="J51" s="95" t="n">
        <x:f>I50</x:f>
        <x:v>28882.62287752222</x:v>
      </x:c>
      <x:c r="K51" s="95" t="n">
        <x:f>J50</x:f>
        <x:v>29428.60673062125</x:v>
      </x:c>
      <x:c r="L51" s="95" t="n">
        <x:f>K50</x:f>
        <x:v>226639.61336350505</x:v>
      </x:c>
    </x:row>
    <x:row r="52">
      <x:c r="A52" s="96" t="str">
        <x:v>التدفقات مع الأرض</x:v>
      </x:c>
      <x:c r="B52" s="95" t="n">
        <x:f>-('CH - CAPEX'!$B$20-('CH - CAPEX'!$B$18*'Dynamic Inputs'!$B$45))</x:f>
        <x:v>-1241000</x:v>
      </x:c>
      <x:c r="C52" s="95" t="n">
        <x:f>B50</x:f>
        <x:v>-103602.8</x:v>
      </x:c>
      <x:c r="D52" s="95" t="n">
        <x:f>C50</x:f>
        <x:v>-37231.83199999992</x:v>
      </x:c>
      <x:c r="E52" s="95" t="n">
        <x:f>D50</x:f>
        <x:v>-15310.729279999876</x:v>
      </x:c>
      <x:c r="F52" s="95" t="n">
        <x:f>E50</x:f>
        <x:v>167.15017280012398</x:v>
      </x:c>
      <x:c r="G52" s="95" t="n">
        <x:f>F50</x:f>
        <x:v>12049.88552883215</x:v>
      </x:c>
      <x:c r="H52" s="95" t="n">
        <x:f>G50</x:f>
        <x:v>19991.518351419043</x:v>
      </x:c>
      <x:c r="I52" s="95" t="n">
        <x:f>H50</x:f>
        <x:v>25627.026045302417</x:v>
      </x:c>
      <x:c r="J52" s="95" t="n">
        <x:f>I50</x:f>
        <x:v>28882.62287752222</x:v>
      </x:c>
      <x:c r="K52" s="95" t="n">
        <x:f>J50</x:f>
        <x:v>29428.60673062125</x:v>
      </x:c>
      <x:c r="L52" s="95" t="n">
        <x:f>K50</x:f>
        <x:v>226639.61336350505</x:v>
      </x:c>
    </x:row>
    <x:row r="53">
      <x:c r="A53" s="96" t="str">
        <x:v>التراكمي دون الأرض</x:v>
      </x:c>
      <x:c r="B53" s="95" t="n">
        <x:f>B51</x:f>
        <x:v>-441000</x:v>
      </x:c>
      <x:c r="C53" s="95" t="n">
        <x:f>B53+C51</x:f>
        <x:v>-544602.8</x:v>
      </x:c>
      <x:c r="D53" s="95" t="n">
        <x:f>C53+D51</x:f>
        <x:v>-581834.632</x:v>
      </x:c>
      <x:c r="E53" s="95" t="n">
        <x:f>D53+E51</x:f>
        <x:v>-597145.3612799998</x:v>
      </x:c>
      <x:c r="F53" s="95" t="n">
        <x:f>E53+F51</x:f>
        <x:v>-596978.2111071997</x:v>
      </x:c>
      <x:c r="G53" s="95" t="n">
        <x:f>F53+G51</x:f>
        <x:v>-584928.3255783676</x:v>
      </x:c>
      <x:c r="H53" s="95" t="n">
        <x:f>G53+H51</x:f>
        <x:v>-564936.8072269486</x:v>
      </x:c>
      <x:c r="I53" s="95" t="n">
        <x:f>H53+I51</x:f>
        <x:v>-539309.7811816462</x:v>
      </x:c>
      <x:c r="J53" s="95" t="n">
        <x:f>I53+J51</x:f>
        <x:v>-510427.15830412396</x:v>
      </x:c>
      <x:c r="K53" s="95" t="n">
        <x:f>J53+K51</x:f>
        <x:v>-480998.5515735027</x:v>
      </x:c>
      <x:c r="L53" s="95" t="n">
        <x:f>K53+L51</x:f>
        <x:v>-254358.93820999766</x:v>
      </x:c>
    </x:row>
    <x:row r="54">
      <x:c r="A54" s="96" t="str">
        <x:v>التراكمي مع الأرض</x:v>
      </x:c>
      <x:c r="B54" s="95" t="n">
        <x:f>B52</x:f>
        <x:v>-1241000</x:v>
      </x:c>
      <x:c r="C54" s="95" t="n">
        <x:f>B54+C52</x:f>
        <x:v>-1344602.8</x:v>
      </x:c>
      <x:c r="D54" s="95" t="n">
        <x:f>C54+D52</x:f>
        <x:v>-1381834.632</x:v>
      </x:c>
      <x:c r="E54" s="95" t="n">
        <x:f>D54+E52</x:f>
        <x:v>-1397145.3612799998</x:v>
      </x:c>
      <x:c r="F54" s="95" t="n">
        <x:f>E54+F52</x:f>
        <x:v>-1396978.2111071998</x:v>
      </x:c>
      <x:c r="G54" s="95" t="n">
        <x:f>F54+G52</x:f>
        <x:v>-1384928.3255783676</x:v>
      </x:c>
      <x:c r="H54" s="95" t="n">
        <x:f>G54+H52</x:f>
        <x:v>-1364936.8072269484</x:v>
      </x:c>
      <x:c r="I54" s="95" t="n">
        <x:f>H54+I52</x:f>
        <x:v>-1339309.781181646</x:v>
      </x:c>
      <x:c r="J54" s="95" t="n">
        <x:f>I54+J52</x:f>
        <x:v>-1310427.158304124</x:v>
      </x:c>
      <x:c r="K54" s="95" t="n">
        <x:f>J54+K52</x:f>
        <x:v>-1280998.5515735026</x:v>
      </x:c>
      <x:c r="L54" s="95" t="n">
        <x:f>K54+L52</x:f>
        <x:v>-1054358.9382099975</x:v>
      </x:c>
    </x:row>
  </x:sheetData>
  <x:mergeCells>
    <x:mergeCell ref="A1:L1"/>
  </x:mergeCells>
  <x:conditionalFormatting sqref="A17:F21">
    <x:cfRule type="expression" dxfId="3" priority="1">
      <x:formula>$C17&lt;0</x:formula>
    </x:cfRule>
  </x:conditionalFormatting>
  <x:pageMargins left="0.7" right="0.7" top="0.75" bottom="0.75" header="0.3" footer="0.3"/>
  <x:drawing xmlns:r="http://schemas.openxmlformats.org/officeDocument/2006/relationships" r:id="R37624f4d4f0043ca"/>
</x:worksheet>
</file>

<file path=xl/worksheets/sheet15.xml><?xml version="1.0" encoding="utf-8"?>
<x:worksheet xmlns:x="http://schemas.openxmlformats.org/spreadsheetml/2006/main">
  <x:sheetFormatPr defaultRowHeight="15"/>
  <x:cols>
    <x:col min="1" max="1" width="28" hidden="0" customWidth="1"/>
    <x:col min="2" max="2" width="10" hidden="0" customWidth="1"/>
    <x:col min="3" max="3" width="14" hidden="0" customWidth="1"/>
    <x:col min="4" max="4" width="14" hidden="0" customWidth="1"/>
    <x:col min="5" max="5" width="14" hidden="0" customWidth="1"/>
    <x:col min="6" max="6" width="24" hidden="0" customWidth="1"/>
    <x:col min="7" max="7" width="34" hidden="0" customWidth="1"/>
    <x:col min="8" max="8" width="16" hidden="0" customWidth="1"/>
  </x:cols>
  <x:sheetData>
    <x:row r="1">
      <x:c r="A1" s="29" t="str">
        <x:v>مصفوفة القرار المرجحة</x:v>
      </x:c>
      <x:c r="B1" s="29"/>
      <x:c r="C1" s="29"/>
      <x:c r="D1" s="29"/>
      <x:c r="E1" s="29"/>
      <x:c r="F1" s="29"/>
      <x:c r="G1" s="29"/>
      <x:c r="H1" s="29"/>
    </x:row>
    <x:row r="3">
      <x:c r="A3" s="19" t="str">
        <x:v>المعيار</x:v>
      </x:c>
      <x:c r="B3" s="19" t="str">
        <x:v>الوزن</x:v>
      </x:c>
      <x:c r="C3" s="19" t="str">
        <x:v>كوفي شوب</x:v>
      </x:c>
      <x:c r="D3" s="19" t="str">
        <x:v>مدرسة</x:v>
      </x:c>
      <x:c r="E3" s="19" t="str">
        <x:v>كوفي هاوس</x:v>
      </x:c>
      <x:c r="F3" s="19" t="str">
        <x:v>النتيجة المرجحة الأفضل</x:v>
      </x:c>
      <x:c r="G3" s="19" t="str">
        <x:v>تعليق المستثمر</x:v>
      </x:c>
      <x:c r="H3" s="19" t="str">
        <x:v>درجة الثقة</x:v>
      </x:c>
    </x:row>
    <x:row r="4">
      <x:c r="A4" s="46" t="str">
        <x:v>ملاءمة مساحة الدونم</x:v>
      </x:c>
      <x:c r="B4" s="99" t="n">
        <x:v>14</x:v>
      </x:c>
      <x:c r="C4" s="99" t="n">
        <x:v>8</x:v>
      </x:c>
      <x:c r="D4" s="99" t="n">
        <x:v>2</x:v>
      </x:c>
      <x:c r="E4" s="99" t="n">
        <x:v>5.5</x:v>
      </x:c>
      <x:c r="F4" s="46" t="str">
        <x:v>كوفي شوب</x:v>
      </x:c>
      <x:c r="G4" s="46" t="str">
        <x:v>المدرسة قيد جوهري</x:v>
      </x:c>
      <x:c r="H4" s="46" t="str">
        <x:v>مرتفع</x:v>
      </x:c>
    </x:row>
    <x:row r="5">
      <x:c r="A5" s="46" t="str">
        <x:v>قابلية الترخيص</x:v>
      </x:c>
      <x:c r="B5" s="99" t="n">
        <x:v>12</x:v>
      </x:c>
      <x:c r="C5" s="99" t="n">
        <x:v>7</x:v>
      </x:c>
      <x:c r="D5" s="99" t="n">
        <x:v>2</x:v>
      </x:c>
      <x:c r="E5" s="99" t="n">
        <x:v>5.5</x:v>
      </x:c>
      <x:c r="F5" s="46" t="str">
        <x:v>كوفي شوب</x:v>
      </x:c>
      <x:c r="G5" s="46" t="str">
        <x:v>لا اعتماد دون إفادة رسمية</x:v>
      </x:c>
      <x:c r="H5" s="46" t="str">
        <x:v>مرتفع</x:v>
      </x:c>
    </x:row>
    <x:row r="6">
      <x:c r="A6" s="46" t="str">
        <x:v>الاستثمار الأولي</x:v>
      </x:c>
      <x:c r="B6" s="99" t="n">
        <x:v>10</x:v>
      </x:c>
      <x:c r="C6" s="99" t="n">
        <x:v>8</x:v>
      </x:c>
      <x:c r="D6" s="99" t="n">
        <x:v>2</x:v>
      </x:c>
      <x:c r="E6" s="99" t="n">
        <x:v>5</x:v>
      </x:c>
      <x:c r="F6" s="46" t="str">
        <x:v>كوفي شوب</x:v>
      </x:c>
      <x:c r="G6" s="46" t="str">
        <x:v>فرق رأسمالي كبير</x:v>
      </x:c>
      <x:c r="H6" s="46" t="str">
        <x:v>مرتفع</x:v>
      </x:c>
    </x:row>
    <x:row r="7">
      <x:c r="A7" s="46" t="str">
        <x:v>العائد الاقتصادي بعد الأرض</x:v>
      </x:c>
      <x:c r="B7" s="99" t="n">
        <x:v>14</x:v>
      </x:c>
      <x:c r="C7" s="99" t="n">
        <x:v>7</x:v>
      </x:c>
      <x:c r="D7" s="99" t="n">
        <x:v>5.5</x:v>
      </x:c>
      <x:c r="E7" s="99" t="n">
        <x:v>4.5</x:v>
      </x:c>
      <x:c r="F7" s="46" t="str">
        <x:v>كوفي شوب</x:v>
      </x:c>
      <x:c r="G7" s="46" t="str">
        <x:v>تخصيص قيمة الأرض حاسم</x:v>
      </x:c>
      <x:c r="H7" s="46" t="str">
        <x:v>متوسط</x:v>
      </x:c>
    </x:row>
    <x:row r="8">
      <x:c r="A8" s="46" t="str">
        <x:v>الطلب والمنافسة</x:v>
      </x:c>
      <x:c r="B8" s="99" t="n">
        <x:v>10</x:v>
      </x:c>
      <x:c r="C8" s="99" t="n">
        <x:v>6</x:v>
      </x:c>
      <x:c r="D8" s="99" t="n">
        <x:v>5</x:v>
      </x:c>
      <x:c r="E8" s="99" t="n">
        <x:v>4.5</x:v>
      </x:c>
      <x:c r="F8" s="46" t="str">
        <x:v>كوفي شوب</x:v>
      </x:c>
      <x:c r="G8" s="46" t="str">
        <x:v>السوق مزدحمة</x:v>
      </x:c>
      <x:c r="H8" s="46" t="str">
        <x:v>متوسط</x:v>
      </x:c>
    </x:row>
    <x:row r="9">
      <x:c r="A9" s="46" t="str">
        <x:v>استقرار الإيرادات</x:v>
      </x:c>
      <x:c r="B9" s="99" t="n">
        <x:v>9</x:v>
      </x:c>
      <x:c r="C9" s="99" t="n">
        <x:v>5.5</x:v>
      </x:c>
      <x:c r="D9" s="99" t="n">
        <x:v>8</x:v>
      </x:c>
      <x:c r="E9" s="99" t="n">
        <x:v>6</x:v>
      </x:c>
      <x:c r="F9" s="46" t="str">
        <x:v>مدرسة</x:v>
      </x:c>
      <x:c r="G9" s="46" t="str">
        <x:v>بعد الوصول للسعة فقط</x:v>
      </x:c>
      <x:c r="H9" s="46" t="str">
        <x:v>متوسط</x:v>
      </x:c>
    </x:row>
    <x:row r="10">
      <x:c r="A10" s="46" t="str">
        <x:v>مدة التنفيذ</x:v>
      </x:c>
      <x:c r="B10" s="99" t="n">
        <x:v>8</x:v>
      </x:c>
      <x:c r="C10" s="99" t="n">
        <x:v>8</x:v>
      </x:c>
      <x:c r="D10" s="99" t="n">
        <x:v>3</x:v>
      </x:c>
      <x:c r="E10" s="99" t="n">
        <x:v>6</x:v>
      </x:c>
      <x:c r="F10" s="46" t="str">
        <x:v>كوفي شوب</x:v>
      </x:c>
      <x:c r="G10" s="46" t="str"/>
      <x:c r="H10" s="46" t="str">
        <x:v>مرتفع</x:v>
      </x:c>
    </x:row>
    <x:row r="11">
      <x:c r="A11" s="46" t="str">
        <x:v>المرونة والتخارج</x:v>
      </x:c>
      <x:c r="B11" s="99" t="n">
        <x:v>8</x:v>
      </x:c>
      <x:c r="C11" s="99" t="n">
        <x:v>8</x:v>
      </x:c>
      <x:c r="D11" s="99" t="n">
        <x:v>3.5</x:v>
      </x:c>
      <x:c r="E11" s="99" t="n">
        <x:v>6.5</x:v>
      </x:c>
      <x:c r="F11" s="46" t="str">
        <x:v>كوفي شوب</x:v>
      </x:c>
      <x:c r="G11" s="46" t="str"/>
      <x:c r="H11" s="46" t="str">
        <x:v>مرتفع</x:v>
      </x:c>
    </x:row>
    <x:row r="12">
      <x:c r="A12" s="46" t="str">
        <x:v>عبء الإدارة</x:v>
      </x:c>
      <x:c r="B12" s="99" t="n">
        <x:v>6</x:v>
      </x:c>
      <x:c r="C12" s="99" t="n">
        <x:v>5</x:v>
      </x:c>
      <x:c r="D12" s="99" t="n">
        <x:v>4</x:v>
      </x:c>
      <x:c r="E12" s="99" t="n">
        <x:v>3.5</x:v>
      </x:c>
      <x:c r="F12" s="46" t="str">
        <x:v>مدرسة</x:v>
      </x:c>
      <x:c r="G12" s="46" t="str">
        <x:v>الجميع يحتاج إدارة قوية</x:v>
      </x:c>
      <x:c r="H12" s="46" t="str">
        <x:v>متوسط</x:v>
      </x:c>
    </x:row>
    <x:row r="13">
      <x:c r="A13" s="46" t="str">
        <x:v>مخاطر التمويل</x:v>
      </x:c>
      <x:c r="B13" s="99" t="n">
        <x:v>5</x:v>
      </x:c>
      <x:c r="C13" s="99" t="n">
        <x:v>7</x:v>
      </x:c>
      <x:c r="D13" s="99" t="n">
        <x:v>3</x:v>
      </x:c>
      <x:c r="E13" s="99" t="n">
        <x:v>5</x:v>
      </x:c>
      <x:c r="F13" s="46" t="str">
        <x:v>كوفي شوب</x:v>
      </x:c>
      <x:c r="G13" s="46" t="str"/>
      <x:c r="H13" s="46" t="str">
        <x:v>متوسط</x:v>
      </x:c>
    </x:row>
    <x:row r="14">
      <x:c r="A14" s="46" t="str">
        <x:v>الأثر الاجتماعي</x:v>
      </x:c>
      <x:c r="B14" s="99" t="n">
        <x:v>4</x:v>
      </x:c>
      <x:c r="C14" s="99" t="n">
        <x:v>4</x:v>
      </x:c>
      <x:c r="D14" s="99" t="n">
        <x:v>10</x:v>
      </x:c>
      <x:c r="E14" s="99" t="n">
        <x:v>5</x:v>
      </x:c>
      <x:c r="F14" s="46" t="str">
        <x:v>مدرسة</x:v>
      </x:c>
      <x:c r="G14" s="46" t="str"/>
      <x:c r="H14" s="46" t="str">
        <x:v>مرتفع</x:v>
      </x:c>
    </x:row>
    <x:row r="15">
      <x:c r="A15" s="17" t="str">
        <x:v>النتيجة النهائية</x:v>
      </x:c>
      <x:c r="B15" s="17" t="n">
        <x:v>100</x:v>
      </x:c>
      <x:c r="C15" s="100" t="n">
        <x:f>SUMPRODUCT($B$4:$B$14,C4:C14)/10</x:f>
        <x:v>69.25</x:v>
      </x:c>
      <x:c r="D15" s="100" t="n">
        <x:f>SUMPRODUCT($B$4:$B$14,D4:D14)/10</x:f>
        <x:v>40.2</x:v>
      </x:c>
      <x:c r="E15" s="100" t="n">
        <x:f>SUMPRODUCT($B$4:$B$14,E4:E14)/10</x:f>
        <x:v>52.1</x:v>
      </x:c>
      <x:c r="F15" s="17" t="str">
        <x:v>كوفي شوب</x:v>
      </x:c>
      <x:c r="G15" s="17" t="str">
        <x:v>Conditional Go</x:v>
      </x:c>
      <x:c r="H15" s="17" t="str">
        <x:v>متوسط-مرتفع</x:v>
      </x:c>
    </x:row>
  </x:sheetData>
  <x:mergeCells>
    <x:mergeCell ref="A1:H1"/>
  </x:mergeCells>
  <x:dataValidations count="2">
    <x:dataValidation type="decimal" operator="between" sqref="B4:B14">
      <x:formula1>0</x:formula1>
      <x:formula2>100</x:formula2>
    </x:dataValidation>
    <x:dataValidation type="decimal" operator="between" sqref="C4:E14">
      <x:formula1>0</x:formula1>
      <x:formula2>10</x:formula2>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16" hidden="0" customWidth="1"/>
    <x:col min="3" max="3" width="14" hidden="0" customWidth="1"/>
    <x:col min="4" max="4" width="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x:c r="A1" s="76" t="str">
        <x:v>مدخلات النموذج الديناميكي - غيّر الخلايا الصفراء فقط</x:v>
      </x:c>
      <x:c r="B1" s="76"/>
      <x:c r="C1" s="76"/>
      <x:c r="D1" s="76"/>
      <x:c r="E1" s="76"/>
      <x:c r="F1" s="76"/>
      <x:c r="G1" s="76"/>
      <x:c r="H1" s="76"/>
      <x:c r="I1" s="76"/>
      <x:c r="J1" s="76"/>
      <x:c r="K1" s="76"/>
      <x:c r="L1" s="76"/>
    </x:row>
    <x:row r="2">
      <x:c r="A2" s="76"/>
      <x:c r="B2" s="76"/>
      <x:c r="C2" s="76"/>
      <x:c r="D2" s="76"/>
      <x:c r="E2" s="76"/>
      <x:c r="F2" s="76"/>
      <x:c r="G2" s="76"/>
      <x:c r="H2" s="76"/>
      <x:c r="I2" s="76"/>
      <x:c r="J2" s="76"/>
      <x:c r="K2" s="76"/>
      <x:c r="L2" s="76"/>
    </x:row>
    <x:row r="3">
      <x:c r="A3" s="79" t="str">
        <x:v>جميع النتائج في الرواتب والتكاليف والنماذج المالية ولوحة المستثمر تتحدث تلقائيًا</x:v>
      </x:c>
      <x:c r="B3" s="79"/>
      <x:c r="C3" s="79"/>
      <x:c r="D3" s="79"/>
      <x:c r="E3" s="79"/>
      <x:c r="F3" s="79"/>
      <x:c r="G3" s="79"/>
      <x:c r="H3" s="79"/>
      <x:c r="I3" s="79"/>
      <x:c r="J3" s="79"/>
      <x:c r="K3" s="79"/>
      <x:c r="L3" s="79"/>
    </x:row>
    <x:row r="5">
      <x:c r="A5" s="81" t="str">
        <x:v>كوفي شوب</x:v>
      </x:c>
      <x:c r="B5" s="81"/>
      <x:c r="C5" s="81"/>
      <x:c r="D5" s="81"/>
      <x:c r="E5" s="81" t="str">
        <x:v>نمو الإيرادات السنوي - كوفي شوب</x:v>
      </x:c>
      <x:c r="F5" s="81"/>
      <x:c r="G5" s="81"/>
      <x:c r="H5" s="81"/>
      <x:c r="I5" s="81"/>
      <x:c r="J5" s="81"/>
      <x:c r="K5" s="81"/>
      <x:c r="L5" s="81"/>
    </x:row>
    <x:row r="6">
      <x:c r="A6" s="69" t="str">
        <x:v>الافتراض</x:v>
      </x:c>
      <x:c r="B6" s="69" t="str">
        <x:v>القيمة</x:v>
      </x:c>
      <x:c r="C6" s="69" t="str">
        <x:v>الوحدة</x:v>
      </x:c>
      <x:c r="E6" s="69" t="str">
        <x:v>سنة 2</x:v>
      </x:c>
      <x:c r="F6" s="69" t="str">
        <x:v>سنة 3</x:v>
      </x:c>
      <x:c r="G6" s="69" t="str">
        <x:v>سنة 4</x:v>
      </x:c>
      <x:c r="H6" s="69" t="str">
        <x:v>سنة 5</x:v>
      </x:c>
      <x:c r="I6" s="69" t="str">
        <x:v>سنة 6</x:v>
      </x:c>
      <x:c r="J6" s="69" t="str">
        <x:v>سنة 7</x:v>
      </x:c>
      <x:c r="K6" s="69" t="str">
        <x:v>سنة 8</x:v>
      </x:c>
      <x:c r="L6" s="69" t="str">
        <x:v>سنة 9</x:v>
      </x:c>
      <x:c r="M6" s="69" t="str">
        <x:v>سنة 10</x:v>
      </x:c>
    </x:row>
    <x:row r="7">
      <x:c r="A7" t="str">
        <x:v>العمليات اليومية</x:v>
      </x:c>
      <x:c r="B7" s="71" t="n">
        <x:v>205</x:v>
      </x:c>
      <x:c r="C7" t="str">
        <x:v>عملية</x:v>
      </x:c>
      <x:c r="E7" s="72" t="n">
        <x:v>0.12</x:v>
      </x:c>
      <x:c r="F7" s="72" t="n">
        <x:v>0.09</x:v>
      </x:c>
      <x:c r="G7" s="72" t="n">
        <x:v>0.07</x:v>
      </x:c>
      <x:c r="H7" s="72" t="n">
        <x:v>0.06</x:v>
      </x:c>
      <x:c r="I7" s="72" t="n">
        <x:v>0.05</x:v>
      </x:c>
      <x:c r="J7" s="72" t="n">
        <x:v>0.045</x:v>
      </x:c>
      <x:c r="K7" s="72" t="n">
        <x:v>0.04</x:v>
      </x:c>
      <x:c r="L7" s="72" t="n">
        <x:v>0.035</x:v>
      </x:c>
      <x:c r="M7" s="72" t="n">
        <x:v>0.03</x:v>
      </x:c>
    </x:row>
    <x:row r="8">
      <x:c r="A8" t="str">
        <x:v>متوسط الفاتورة</x:v>
      </x:c>
      <x:c r="B8" s="82" t="n">
        <x:v>6.1</x:v>
      </x:c>
      <x:c r="C8" t="str">
        <x:v>JOD</x:v>
      </x:c>
    </x:row>
    <x:row r="9">
      <x:c r="A9" t="str">
        <x:v>أيام التشغيل</x:v>
      </x:c>
      <x:c r="B9" s="71" t="n">
        <x:v>350</x:v>
      </x:c>
      <x:c r="C9" t="str">
        <x:v>يوم</x:v>
      </x:c>
    </x:row>
    <x:row r="10">
      <x:c r="A10" t="str">
        <x:v>نسبة تكلفة المواد</x:v>
      </x:c>
      <x:c r="B10" s="72" t="n">
        <x:v>0.31</x:v>
      </x:c>
      <x:c r="C10" t="str">
        <x:v>%</x:v>
      </x:c>
    </x:row>
    <x:row r="11">
      <x:c r="A11" t="str">
        <x:v>نسبة الدين</x:v>
      </x:c>
      <x:c r="B11" s="72" t="n">
        <x:v>0.4</x:v>
      </x:c>
      <x:c r="C11" t="str">
        <x:v>%</x:v>
      </x:c>
    </x:row>
    <x:row r="12">
      <x:c r="A12" t="str">
        <x:v>مدة القرض</x:v>
      </x:c>
      <x:c r="B12" s="71" t="n">
        <x:v>7</x:v>
      </x:c>
      <x:c r="C12" t="str">
        <x:v>سنة</x:v>
      </x:c>
    </x:row>
    <x:row r="13">
      <x:c r="A13" t="str">
        <x:v>مضاعف القيمة النهائية</x:v>
      </x:c>
      <x:c r="B13" s="83" t="n">
        <x:v>5</x:v>
      </x:c>
      <x:c r="C13" t="str">
        <x:v>x</x:v>
      </x:c>
    </x:row>
    <x:row r="20">
      <x:c r="A20" s="81" t="str">
        <x:v>مدرسة ثانوية خاصة</x:v>
      </x:c>
      <x:c r="B20" s="81"/>
      <x:c r="C20" s="81"/>
      <x:c r="D20" s="81"/>
      <x:c r="E20" s="81" t="str">
        <x:v>نمو الإيرادات السنوي - مدرسة ثانوية خاصة</x:v>
      </x:c>
      <x:c r="F20" s="81"/>
      <x:c r="G20" s="81"/>
      <x:c r="H20" s="81"/>
      <x:c r="I20" s="81"/>
      <x:c r="J20" s="81"/>
      <x:c r="K20" s="81"/>
      <x:c r="L20" s="81"/>
    </x:row>
    <x:row r="21">
      <x:c r="A21" s="69" t="str">
        <x:v>الافتراض</x:v>
      </x:c>
      <x:c r="B21" s="69" t="str">
        <x:v>القيمة</x:v>
      </x:c>
      <x:c r="C21" s="69" t="str">
        <x:v>الوحدة</x:v>
      </x:c>
      <x:c r="E21" s="69" t="str">
        <x:v>سنة 2</x:v>
      </x:c>
      <x:c r="F21" s="69" t="str">
        <x:v>سنة 3</x:v>
      </x:c>
      <x:c r="G21" s="69" t="str">
        <x:v>سنة 4</x:v>
      </x:c>
      <x:c r="H21" s="69" t="str">
        <x:v>سنة 5</x:v>
      </x:c>
      <x:c r="I21" s="69" t="str">
        <x:v>سنة 6</x:v>
      </x:c>
      <x:c r="J21" s="69" t="str">
        <x:v>سنة 7</x:v>
      </x:c>
      <x:c r="K21" s="69" t="str">
        <x:v>سنة 8</x:v>
      </x:c>
      <x:c r="L21" s="69" t="str">
        <x:v>سنة 9</x:v>
      </x:c>
      <x:c r="M21" s="69" t="str">
        <x:v>سنة 10</x:v>
      </x:c>
    </x:row>
    <x:row r="22">
      <x:c r="A22" t="str">
        <x:v>عدد الطلاب سنة 1</x:v>
      </x:c>
      <x:c r="B22" s="71" t="n">
        <x:v>210</x:v>
      </x:c>
      <x:c r="C22" t="str">
        <x:v>طالب</x:v>
      </x:c>
      <x:c r="E22" s="72" t="n">
        <x:v>0.2</x:v>
      </x:c>
      <x:c r="F22" s="72" t="n">
        <x:v>0.16</x:v>
      </x:c>
      <x:c r="G22" s="72" t="n">
        <x:v>0.12</x:v>
      </x:c>
      <x:c r="H22" s="72" t="n">
        <x:v>0.08</x:v>
      </x:c>
      <x:c r="I22" s="72" t="n">
        <x:v>0.06</x:v>
      </x:c>
      <x:c r="J22" s="72" t="n">
        <x:v>0.05</x:v>
      </x:c>
      <x:c r="K22" s="72" t="n">
        <x:v>0.04</x:v>
      </x:c>
      <x:c r="L22" s="72" t="n">
        <x:v>0.035</x:v>
      </x:c>
      <x:c r="M22" s="72" t="n">
        <x:v>0.03</x:v>
      </x:c>
    </x:row>
    <x:row r="23">
      <x:c r="A23" t="str">
        <x:v>الرسم السنوي</x:v>
      </x:c>
      <x:c r="B23" s="82" t="n">
        <x:v>3650</x:v>
      </x:c>
      <x:c r="C23" t="str">
        <x:v>JOD</x:v>
      </x:c>
    </x:row>
    <x:row r="24">
      <x:c r="A24" t="str">
        <x:v>نسبة الخصومات</x:v>
      </x:c>
      <x:c r="B24" s="72" t="n">
        <x:v>0.1</x:v>
      </x:c>
      <x:c r="C24" t="str">
        <x:v>%</x:v>
      </x:c>
    </x:row>
    <x:row r="25">
      <x:c r="A25" t="str">
        <x:v>طلاب النقل</x:v>
      </x:c>
      <x:c r="B25" s="71" t="n">
        <x:v>110</x:v>
      </x:c>
      <x:c r="C25" t="str">
        <x:v>طالب</x:v>
      </x:c>
    </x:row>
    <x:row r="26">
      <x:c r="A26" t="str">
        <x:v>رسم النقل</x:v>
      </x:c>
      <x:c r="B26" s="82" t="n">
        <x:v>700</x:v>
      </x:c>
      <x:c r="C26" t="str">
        <x:v>JOD</x:v>
      </x:c>
    </x:row>
    <x:row r="27">
      <x:c r="A27" t="str">
        <x:v>إيراد إضافي لكل طالب</x:v>
      </x:c>
      <x:c r="B27" s="82" t="n">
        <x:v>250</x:v>
      </x:c>
      <x:c r="C27" t="str">
        <x:v>JOD</x:v>
      </x:c>
    </x:row>
    <x:row r="28">
      <x:c r="A28" t="str">
        <x:v>نسبة تكلفة الخدمة</x:v>
      </x:c>
      <x:c r="B28" s="72" t="n">
        <x:v>0.08</x:v>
      </x:c>
      <x:c r="C28" t="str">
        <x:v>%</x:v>
      </x:c>
    </x:row>
    <x:row r="29">
      <x:c r="A29" t="str">
        <x:v>نسبة الدين</x:v>
      </x:c>
      <x:c r="B29" s="72" t="n">
        <x:v>0.35</x:v>
      </x:c>
      <x:c r="C29" t="str">
        <x:v>%</x:v>
      </x:c>
    </x:row>
    <x:row r="30">
      <x:c r="A30" t="str">
        <x:v>مدة القرض</x:v>
      </x:c>
      <x:c r="B30" s="71" t="n">
        <x:v>10</x:v>
      </x:c>
      <x:c r="C30" t="str">
        <x:v>سنة</x:v>
      </x:c>
    </x:row>
    <x:row r="31">
      <x:c r="A31" t="str">
        <x:v>مضاعف القيمة النهائية</x:v>
      </x:c>
      <x:c r="B31" s="83" t="n">
        <x:v>7</x:v>
      </x:c>
      <x:c r="C31" t="str">
        <x:v>x</x:v>
      </x:c>
    </x:row>
    <x:row r="38">
      <x:c r="A38" s="81" t="str">
        <x:v>كوفي هاوس</x:v>
      </x:c>
      <x:c r="B38" s="81"/>
      <x:c r="C38" s="81"/>
      <x:c r="D38" s="81"/>
      <x:c r="E38" s="81" t="str">
        <x:v>نمو الإيرادات السنوي - كوفي هاوس</x:v>
      </x:c>
      <x:c r="F38" s="81"/>
      <x:c r="G38" s="81"/>
      <x:c r="H38" s="81"/>
      <x:c r="I38" s="81"/>
      <x:c r="J38" s="81"/>
      <x:c r="K38" s="81"/>
      <x:c r="L38" s="81"/>
    </x:row>
    <x:row r="39">
      <x:c r="A39" s="69" t="str">
        <x:v>الافتراض</x:v>
      </x:c>
      <x:c r="B39" s="69" t="str">
        <x:v>القيمة</x:v>
      </x:c>
      <x:c r="C39" s="69" t="str">
        <x:v>الوحدة</x:v>
      </x:c>
      <x:c r="E39" s="69" t="str">
        <x:v>سنة 2</x:v>
      </x:c>
      <x:c r="F39" s="69" t="str">
        <x:v>سنة 3</x:v>
      </x:c>
      <x:c r="G39" s="69" t="str">
        <x:v>سنة 4</x:v>
      </x:c>
      <x:c r="H39" s="69" t="str">
        <x:v>سنة 5</x:v>
      </x:c>
      <x:c r="I39" s="69" t="str">
        <x:v>سنة 6</x:v>
      </x:c>
      <x:c r="J39" s="69" t="str">
        <x:v>سنة 7</x:v>
      </x:c>
      <x:c r="K39" s="69" t="str">
        <x:v>سنة 8</x:v>
      </x:c>
      <x:c r="L39" s="69" t="str">
        <x:v>سنة 9</x:v>
      </x:c>
      <x:c r="M39" s="69" t="str">
        <x:v>سنة 10</x:v>
      </x:c>
    </x:row>
    <x:row r="40">
      <x:c r="A40" t="str">
        <x:v>العمليات اليومية</x:v>
      </x:c>
      <x:c r="B40" s="71" t="n">
        <x:v>270</x:v>
      </x:c>
      <x:c r="C40" t="str">
        <x:v>عملية</x:v>
      </x:c>
      <x:c r="E40" s="72" t="n">
        <x:v>0.12</x:v>
      </x:c>
      <x:c r="F40" s="72" t="n">
        <x:v>0.09</x:v>
      </x:c>
      <x:c r="G40" s="72" t="n">
        <x:v>0.07</x:v>
      </x:c>
      <x:c r="H40" s="72" t="n">
        <x:v>0.06</x:v>
      </x:c>
      <x:c r="I40" s="72" t="n">
        <x:v>0.05</x:v>
      </x:c>
      <x:c r="J40" s="72" t="n">
        <x:v>0.045</x:v>
      </x:c>
      <x:c r="K40" s="72" t="n">
        <x:v>0.04</x:v>
      </x:c>
      <x:c r="L40" s="72" t="n">
        <x:v>0.035</x:v>
      </x:c>
      <x:c r="M40" s="72" t="n">
        <x:v>0.03</x:v>
      </x:c>
    </x:row>
    <x:row r="41">
      <x:c r="A41" t="str">
        <x:v>متوسط الفاتورة</x:v>
      </x:c>
      <x:c r="B41" s="82" t="n">
        <x:v>7.3</x:v>
      </x:c>
      <x:c r="C41" t="str">
        <x:v>JOD</x:v>
      </x:c>
    </x:row>
    <x:row r="42">
      <x:c r="A42" t="str">
        <x:v>أيام التشغيل</x:v>
      </x:c>
      <x:c r="B42" s="71" t="n">
        <x:v>350</x:v>
      </x:c>
      <x:c r="C42" t="str">
        <x:v>يوم</x:v>
      </x:c>
    </x:row>
    <x:row r="43">
      <x:c r="A43" t="str">
        <x:v>إيراد الفعاليات سنة 1</x:v>
      </x:c>
      <x:c r="B43" s="82" t="n">
        <x:v>22000</x:v>
      </x:c>
      <x:c r="C43" t="str">
        <x:v>JOD</x:v>
      </x:c>
    </x:row>
    <x:row r="44">
      <x:c r="A44" t="str">
        <x:v>نسبة تكلفة المواد</x:v>
      </x:c>
      <x:c r="B44" s="72" t="n">
        <x:v>0.35</x:v>
      </x:c>
      <x:c r="C44" t="str">
        <x:v>%</x:v>
      </x:c>
    </x:row>
    <x:row r="45">
      <x:c r="A45" t="str">
        <x:v>نسبة الدين</x:v>
      </x:c>
      <x:c r="B45" s="72" t="n">
        <x:v>0.4</x:v>
      </x:c>
      <x:c r="C45" t="str">
        <x:v>%</x:v>
      </x:c>
    </x:row>
    <x:row r="46">
      <x:c r="A46" t="str">
        <x:v>مدة القرض</x:v>
      </x:c>
      <x:c r="B46" s="71" t="n">
        <x:v>8</x:v>
      </x:c>
      <x:c r="C46" t="str">
        <x:v>سنة</x:v>
      </x:c>
    </x:row>
    <x:row r="47">
      <x:c r="A47" t="str">
        <x:v>مضاعف القيمة النهائية</x:v>
      </x:c>
      <x:c r="B47" s="83" t="n">
        <x:v>5.5</x:v>
      </x:c>
      <x:c r="C47" t="str">
        <x:v>x</x:v>
      </x:c>
    </x:row>
  </x:sheetData>
  <x:mergeCells>
    <x:mergeCell ref="A1:L2"/>
    <x:mergeCell ref="A3:L3"/>
    <x:mergeCell ref="A5:F5"/>
    <x:mergeCell ref="E5:L5"/>
    <x:mergeCell ref="A20:F20"/>
    <x:mergeCell ref="E20:L20"/>
    <x:mergeCell ref="A38:F38"/>
    <x:mergeCell ref="E38:L38"/>
  </x:mergeCells>
  <x:pageMargins left="0.7" right="0.7" top="0.75" bottom="0.75" header="0.3" footer="0.3"/>
</x:worksheet>
</file>