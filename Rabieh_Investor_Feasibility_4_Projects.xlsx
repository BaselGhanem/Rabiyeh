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drawings/charts/chart5.xml" ContentType="application/vnd.openxmlformats-officedocument.drawingml.chart+xml"/>
  <Override PartName="/xl/drawings/charts/chart6.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4.xml" ContentType="application/vnd.openxmlformats-officedocument.drawing+xml"/>
  <Override PartName="/xl/drawings/charts/chart7.xml" ContentType="application/vnd.openxmlformats-officedocument.drawingml.chart+xml"/>
  <Override PartName="/xl/drawings/charts/chart8.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drawings/charts/chart9.xml" ContentType="application/vnd.openxmlformats-officedocument.drawingml.chart+xml"/>
  <Override PartName="/xl/drawings/charts/chart10.xml" ContentType="application/vnd.openxmlformats-officedocument.drawingml.char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cff618cec04d75" /></Relationships>
</file>

<file path=xl/workbook.xml><?xml version="1.0" encoding="utf-8"?>
<x:workbook xmlns:x="http://schemas.openxmlformats.org/spreadsheetml/2006/main">
  <x:sheets>
    <x:sheet xmlns:r="http://schemas.openxmlformats.org/officeDocument/2006/relationships" name="Investor Dashboard" sheetId="1" r:id="Rf1d780a139414f05"/>
    <x:sheet xmlns:r="http://schemas.openxmlformats.org/officeDocument/2006/relationships" name="General Assumptions" sheetId="2" r:id="Rc4a443d9b24142f8"/>
    <x:sheet xmlns:r="http://schemas.openxmlformats.org/officeDocument/2006/relationships" name="CS - Payroll" sheetId="3" r:id="R1c6c1dd8a6314acc"/>
    <x:sheet xmlns:r="http://schemas.openxmlformats.org/officeDocument/2006/relationships" name="CS - CAPEX" sheetId="4" r:id="R9cbeed7410d14f11"/>
    <x:sheet xmlns:r="http://schemas.openxmlformats.org/officeDocument/2006/relationships" name="CS - OPEX" sheetId="5" r:id="Rbc3f27c0684a4def"/>
    <x:sheet xmlns:r="http://schemas.openxmlformats.org/officeDocument/2006/relationships" name="CS - 10Y Model" sheetId="6" r:id="Rdd28eff897ee4275"/>
    <x:sheet xmlns:r="http://schemas.openxmlformats.org/officeDocument/2006/relationships" name="School - Payroll" sheetId="7" r:id="R093be5884164472b"/>
    <x:sheet xmlns:r="http://schemas.openxmlformats.org/officeDocument/2006/relationships" name="School - CAPEX" sheetId="8" r:id="Rb08dddcd5cd3487a"/>
    <x:sheet xmlns:r="http://schemas.openxmlformats.org/officeDocument/2006/relationships" name="School - OPEX" sheetId="9" r:id="R7f80a022158145bc"/>
    <x:sheet xmlns:r="http://schemas.openxmlformats.org/officeDocument/2006/relationships" name="School - 10Y Model" sheetId="10" r:id="Rfde621d6d2584fad"/>
    <x:sheet xmlns:r="http://schemas.openxmlformats.org/officeDocument/2006/relationships" name="CH - Payroll" sheetId="11" r:id="Rf85b76e603f140b1"/>
    <x:sheet xmlns:r="http://schemas.openxmlformats.org/officeDocument/2006/relationships" name="CH - CAPEX" sheetId="12" r:id="Rc82bb9b9bd114221"/>
    <x:sheet xmlns:r="http://schemas.openxmlformats.org/officeDocument/2006/relationships" name="CH - OPEX" sheetId="13" r:id="R458e554dd6a241d1"/>
    <x:sheet xmlns:r="http://schemas.openxmlformats.org/officeDocument/2006/relationships" name="CH - 10Y Model" sheetId="14" r:id="Rf00e90aad4ba4a74"/>
    <x:sheet xmlns:r="http://schemas.openxmlformats.org/officeDocument/2006/relationships" name="Decision Matrix" sheetId="15" r:id="R8e32d7d23177416b"/>
    <x:sheet xmlns:r="http://schemas.openxmlformats.org/officeDocument/2006/relationships" name="Dynamic Inputs" sheetId="16" r:id="R55594847612b4d11"/>
    <x:sheet xmlns:r="http://schemas.openxmlformats.org/officeDocument/2006/relationships" name="Dress - Payroll" sheetId="17" r:id="R42b1c0a300ef4356"/>
    <x:sheet xmlns:r="http://schemas.openxmlformats.org/officeDocument/2006/relationships" name="Dress - CAPEX" sheetId="18" r:id="Rb32ecca4666e4711"/>
    <x:sheet xmlns:r="http://schemas.openxmlformats.org/officeDocument/2006/relationships" name="Dress - OPEX" sheetId="19" r:id="R4030b72ee6b2472d"/>
    <x:sheet xmlns:r="http://schemas.openxmlformats.org/officeDocument/2006/relationships" name="Dress - 10Y Model" sheetId="20" r:id="R4be4563778cb4deb"/>
    <x:sheet xmlns:r="http://schemas.openxmlformats.org/officeDocument/2006/relationships" name="Model Checks" sheetId="21" r:id="R052af8bfb1184084"/>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Red](#,##0);-"/>
    <x:numFmt numFmtId="201" formatCode="0.0%;[Red](0.0%);-"/>
    <x:numFmt numFmtId="202" formatCode="0.00x"/>
    <x:numFmt numFmtId="203" formatCode="0.0x"/>
    <x:numFmt numFmtId="204" formatCode="0.00x;[Red](0.00x);-"/>
    <x:numFmt numFmtId="205" formatCode="0"/>
    <x:numFmt numFmtId="206" formatCode="@"/>
  </x:numFmts>
  <x:fonts count="14">
    <x:font>
      <x:sz val="11"/>
      <x:name val="Carlito"/>
    </x:font>
    <x:font>
      <x:b/>
      <x:sz val="21"/>
      <x:color rgb="FFFFFFFF"/>
      <x:name val="Carlito"/>
    </x:font>
    <x:font>
      <x:b/>
      <x:sz val="11"/>
      <x:color rgb="FFFFFFFF"/>
      <x:name val="Carlito"/>
    </x:font>
    <x:font>
      <x:b/>
      <x:sz val="11"/>
      <x:name val="Carlito"/>
    </x:font>
    <x:font>
      <x:sz val="11"/>
      <x:color rgb="FF0000FF"/>
      <x:name val="Carlito"/>
    </x:font>
    <x:font>
      <x:b/>
      <x:sz val="18"/>
      <x:color rgb="FFFFFFFF"/>
      <x:name val="Carlito"/>
    </x:font>
    <x:font>
      <x:sz val="11"/>
      <x:color rgb="FF000000"/>
      <x:name val="Carlito"/>
    </x:font>
    <x:font>
      <x:b/>
      <x:sz val="11"/>
      <x:color rgb="FF000000"/>
      <x:name val="Carlito"/>
    </x:font>
    <x:font>
      <x:sz val="11"/>
      <x:color rgb="FF008000"/>
      <x:name val="Carlito"/>
    </x:font>
    <x:font>
      <x:b/>
      <x:sz val="11"/>
      <x:color rgb="FF008000"/>
      <x:name val="Carlito"/>
    </x:font>
    <x:font>
      <x:b/>
      <x:sz val="8"/>
      <x:color rgb="FFFFFFFF"/>
      <x:name val="Carlito"/>
    </x:font>
    <x:font>
      <x:sz val="8"/>
      <x:name val="Carlito"/>
    </x:font>
    <x:font>
      <x:sz val="11"/>
      <x:color rgb="FFC00000"/>
      <x:name val="Carlito"/>
    </x:font>
    <x:font>
      <x:b/>
      <x:sz val="22"/>
      <x:color rgb="FFFFFFFF"/>
      <x:name val="Carlito"/>
    </x:font>
  </x:fonts>
  <x:fills count="16">
    <x:fill>
      <x:patternFill patternType="none"/>
    </x:fill>
    <x:fill>
      <x:patternFill patternType="gray125"/>
    </x:fill>
    <x:fill>
      <x:patternFill patternType="solid">
        <x:fgColor rgb="FF153A3A"/>
      </x:patternFill>
    </x:fill>
    <x:fill>
      <x:patternFill patternType="solid">
        <x:fgColor rgb="FF099999"/>
      </x:patternFill>
    </x:fill>
    <x:fill>
      <x:patternFill patternType="solid">
        <x:fgColor rgb="FFE7F3F3"/>
      </x:patternFill>
    </x:fill>
    <x:fill>
      <x:patternFill patternType="solid">
        <x:fgColor rgb="FFF6FAFA"/>
      </x:patternFill>
    </x:fill>
    <x:fill>
      <x:patternFill patternType="solid">
        <x:fgColor rgb="FF153A3A"/>
      </x:patternFill>
    </x:fill>
    <x:fill>
      <x:patternFill patternType="solid">
        <x:fgColor rgb="FFFFF2CC"/>
      </x:patternFill>
    </x:fill>
    <x:fill>
      <x:patternFill patternType="solid">
        <x:fgColor rgb="FFE7F3F3"/>
      </x:patternFill>
    </x:fill>
    <x:fill>
      <x:patternFill patternType="solid">
        <x:fgColor rgb="FF099999"/>
      </x:patternFill>
    </x:fill>
    <x:fill>
      <x:patternFill patternType="solid">
        <x:fgColor rgb="FFF6FAFA"/>
      </x:patternFill>
    </x:fill>
    <x:fill>
      <x:patternFill patternType="solid">
        <x:fgColor rgb="FF099999"/>
      </x:patternFill>
    </x:fill>
    <x:fill>
      <x:patternFill patternType="solid">
        <x:fgColor rgb="FF123C3C"/>
      </x:patternFill>
    </x:fill>
    <x:fill>
      <x:patternFill patternType="solid">
        <x:fgColor rgb="FFFFF2CC"/>
      </x:patternFill>
    </x:fill>
    <x:fill>
      <x:patternFill patternType="solid">
        <x:fgColor rgb="FFE7F3F2"/>
      </x:patternFill>
    </x:fill>
    <x:fill>
      <x:patternFill patternType="solid">
        <x:fgColor rgb="FFF7F7F7"/>
      </x:patternFill>
    </x:fill>
  </x:fills>
  <x:borders count="8">
    <x:border/>
    <x:border/>
    <x:border>
      <x:top style="thin">
        <x:color rgb="FF153A3A"/>
      </x:top>
    </x:border>
    <x:border>
      <x:top style="thin">
        <x:color rgb="FF153A3A"/>
      </x:top>
    </x:border>
    <x:border>
      <x:left style="thin">
        <x:color rgb="FF8AA4A2"/>
      </x:left>
      <x:top style="thin">
        <x:color rgb="FF8AA4A2"/>
      </x:top>
      <x:bottom style="thin">
        <x:color rgb="FF8AA4A2"/>
      </x:bottom>
    </x:border>
    <x:border>
      <x:top style="thin">
        <x:color rgb="FF8AA4A2"/>
      </x:top>
      <x:bottom style="thin">
        <x:color rgb="FF8AA4A2"/>
      </x:bottom>
    </x:border>
    <x:border>
      <x:right style="thin">
        <x:color rgb="FF8AA4A2"/>
      </x:right>
      <x:top style="thin">
        <x:color rgb="FF8AA4A2"/>
      </x:top>
      <x:bottom style="thin">
        <x:color rgb="FF8AA4A2"/>
      </x:bottom>
    </x:border>
    <x:border>
      <x:top style="thin">
        <x:color rgb="FF123C3C"/>
      </x:top>
    </x:border>
  </x:borders>
  <x:cellStyleXfs count="1">
    <x:xf numFmtId="0" fontId="0" fillId="0" borderId="0"/>
  </x:cellStyleXfs>
  <x:cellXfs count="16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4" fillId="0" borderId="0" xfId="0" applyNumberFormat="1" applyFont="1" applyFill="1" applyBorder="1"/>
    <x:xf numFmtId="0" fontId="4" fillId="0" borderId="1" xfId="0" applyNumberFormat="1" applyFont="1" applyFill="1" applyBorder="1"/>
    <x:xf numFmtId="200" fontId="4" fillId="0" borderId="0" xfId="0" applyNumberFormat="1" applyFont="1" applyFill="1" applyBorder="1"/>
    <x:xf numFmtId="200" fontId="4" fillId="0" borderId="1" xfId="0" applyNumberFormat="1" applyFont="1" applyFill="1" applyBorder="1"/>
    <x:xf numFmtId="201" fontId="4" fillId="0" borderId="0" xfId="0" applyNumberFormat="1" applyFont="1" applyFill="1" applyBorder="1"/>
    <x:xf numFmtId="201" fontId="4" fillId="0" borderId="1" xfId="0" applyNumberFormat="1" applyFont="1" applyFill="1" applyBorder="1"/>
    <x:xf numFmtId="0" fontId="0" fillId="0" borderId="0" xfId="0" applyNumberFormat="1" applyFont="1" applyFill="1" applyBorder="1" applyAlignment="1">
      <x:alignment wrapText="1"/>
    </x:xf>
    <x:xf numFmtId="200" fontId="4" fillId="0" borderId="0" xfId="0" applyNumberFormat="1" applyFont="1" applyFill="1" applyBorder="1" applyAlignment="1">
      <x:alignment wrapText="1"/>
    </x:xf>
    <x:xf numFmtId="201" fontId="4"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4" fillId="0" borderId="1" xfId="0" applyNumberFormat="1" applyFont="1" applyFill="1" applyBorder="1" applyAlignment="1">
      <x:alignment wrapText="1"/>
    </x:xf>
    <x:xf numFmtId="201" fontId="4" fillId="0" borderId="1" xfId="0" applyNumberFormat="1" applyFont="1" applyFill="1" applyBorder="1" applyAlignment="1">
      <x:alignment wrapText="1"/>
    </x:xf>
    <x:xf numFmtId="0" fontId="3" fillId="4" borderId="2" xfId="0" applyNumberFormat="1" applyFont="1" applyFill="1" applyBorder="1"/>
    <x:xf numFmtId="0" fontId="3" fillId="4" borderId="3" xfId="0" applyNumberFormat="1" applyFont="1" applyFill="1" applyBorder="1"/>
    <x:xf numFmtId="200" fontId="3" fillId="4" borderId="2" xfId="0" applyNumberFormat="1" applyFont="1" applyFill="1" applyBorder="1"/>
    <x:xf numFmtId="200" fontId="3" fillId="4" borderId="3"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200" fontId="2" fillId="2" borderId="0" xfId="0" applyNumberFormat="1" applyFont="1" applyFill="1" applyBorder="1"/>
    <x:xf numFmtId="200" fontId="2" fillId="2"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0" fillId="7" borderId="0" xfId="0" applyNumberFormat="1" applyFont="1" applyFill="1" applyBorder="1"/>
    <x:xf numFmtId="0" fontId="4" fillId="7" borderId="0" xfId="0" applyNumberFormat="1" applyFont="1" applyFill="1" applyBorder="1"/>
    <x:xf numFmtId="201" fontId="4" fillId="7" borderId="0" xfId="0" applyNumberFormat="1" applyFont="1" applyFill="1" applyBorder="1"/>
    <x:xf numFmtId="201" fontId="4" fillId="7" borderId="0" xfId="0" applyNumberFormat="1" applyFont="1" applyFill="1" applyBorder="1" applyAlignment="1">
      <x:alignment wrapText="1"/>
    </x:xf>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9" borderId="0" xfId="0" applyNumberFormat="1" applyFont="1" applyFill="1" applyBorder="1"/>
    <x:xf numFmtId="0" fontId="2" fillId="9" borderId="0" xfId="0" applyNumberFormat="1" applyFont="1" applyFill="1" applyBorder="1"/>
    <x:xf numFmtId="200" fontId="4" fillId="7" borderId="0" xfId="0" applyNumberFormat="1" applyFont="1" applyFill="1" applyBorder="1"/>
    <x:xf numFmtId="203" fontId="4" fillId="7" borderId="0" xfId="0" applyNumberFormat="1" applyFont="1" applyFill="1" applyBorder="1"/>
    <x:xf numFmtId="200" fontId="6" fillId="0" borderId="0" xfId="0" applyNumberFormat="1" applyFont="1" applyFill="1" applyBorder="1"/>
    <x:xf numFmtId="200" fontId="7" fillId="4" borderId="2" xfId="0" applyNumberFormat="1" applyFont="1" applyFill="1" applyBorder="1"/>
    <x:xf numFmtId="201" fontId="6" fillId="0" borderId="0" xfId="0" applyNumberFormat="1" applyFont="1" applyFill="1" applyBorder="1"/>
    <x:xf numFmtId="200" fontId="8" fillId="0" borderId="0" xfId="0" applyNumberFormat="1" applyFont="1" applyFill="1" applyBorder="1"/>
    <x:xf numFmtId="200" fontId="9" fillId="2" borderId="0" xfId="0" applyNumberFormat="1" applyFont="1" applyFill="1" applyBorder="1"/>
    <x:xf numFmtId="202" fontId="6" fillId="0" borderId="0" xfId="0" applyNumberFormat="1" applyFont="1" applyFill="1" applyBorder="1"/>
    <x:xf numFmtId="200" fontId="2" fillId="6" borderId="0" xfId="0" applyNumberFormat="1" applyFont="1" applyFill="1" applyBorder="1" applyAlignment="1">
      <x:alignment horizontal="center" vertical="center" wrapText="1"/>
    </x:xf>
    <x:xf numFmtId="0" fontId="10" fillId="6" borderId="0" xfId="0" applyNumberFormat="1" applyFont="1" applyFill="1" applyBorder="1" applyAlignment="1">
      <x:alignment horizontal="center" vertical="center" wrapText="1"/>
    </x:xf>
    <x:xf numFmtId="200" fontId="10" fillId="6" borderId="0" xfId="0" applyNumberFormat="1" applyFont="1" applyFill="1" applyBorder="1" applyAlignment="1">
      <x:alignment horizontal="center" vertical="center" wrapText="1"/>
    </x:xf>
    <x:xf numFmtId="200" fontId="11" fillId="0" borderId="0" xfId="0" applyNumberFormat="1" applyFont="1" applyFill="1" applyBorder="1"/>
    <x:xf numFmtId="0" fontId="11" fillId="0" borderId="0" xfId="0" applyNumberFormat="1" applyFont="1" applyFill="1" applyBorder="1"/>
    <x:xf numFmtId="200" fontId="11" fillId="0" borderId="0" xfId="0" applyNumberFormat="1" applyFont="1" applyFill="1" applyBorder="1" applyAlignment="1">
      <x:alignment wrapText="1"/>
    </x:xf>
    <x:xf numFmtId="0" fontId="11" fillId="0" borderId="0" xfId="0" applyNumberFormat="1" applyFont="1" applyFill="1" applyBorder="1" applyAlignment="1">
      <x:alignment wrapText="1"/>
    </x:xf>
    <x:xf numFmtId="201" fontId="8" fillId="0" borderId="0" xfId="0" applyNumberFormat="1" applyFont="1" applyFill="1" applyBorder="1"/>
    <x:xf numFmtId="0" fontId="0" fillId="7" borderId="0" xfId="0" applyNumberFormat="1" applyFont="1" applyFill="1" applyBorder="1" applyAlignment="1">
      <x:alignment wrapText="1"/>
    </x:xf>
    <x:xf numFmtId="0" fontId="4" fillId="7" borderId="0" xfId="0" applyNumberFormat="1" applyFont="1" applyFill="1" applyBorder="1" applyAlignment="1">
      <x:alignment wrapText="1"/>
    </x:xf>
    <x:xf numFmtId="0" fontId="7" fillId="2" borderId="0" xfId="0" applyNumberFormat="1" applyFont="1" applyFill="1" applyBorder="1" applyAlignment="1">
      <x:alignment wrapText="1"/>
    </x:xf>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horizontal="right"/>
    </x:xf>
    <x:xf numFmtId="0" fontId="5" fillId="11" borderId="0" xfId="0" applyNumberFormat="1" applyFont="1" applyFill="1" applyBorder="1" applyAlignment="1">
      <x:alignment horizontal="right" vertical="center"/>
    </x:xf>
    <x:xf numFmtId="0" fontId="0" fillId="12" borderId="0" xfId="0" applyNumberFormat="1" applyFont="1" applyFill="1" applyBorder="1"/>
    <x:xf numFmtId="0" fontId="2" fillId="12" borderId="0" xfId="0" applyNumberFormat="1" applyFont="1" applyFill="1" applyBorder="1"/>
    <x:xf numFmtId="0" fontId="2" fillId="12" borderId="4" xfId="0" applyNumberFormat="1" applyFont="1" applyFill="1" applyBorder="1"/>
    <x:xf numFmtId="0" fontId="2" fillId="12" borderId="5" xfId="0" applyNumberFormat="1" applyFont="1" applyFill="1" applyBorder="1"/>
    <x:xf numFmtId="0" fontId="2" fillId="12" borderId="6" xfId="0" applyNumberFormat="1" applyFont="1" applyFill="1" applyBorder="1"/>
    <x:xf numFmtId="0" fontId="2" fillId="12" borderId="4" xfId="0" applyNumberFormat="1" applyFont="1" applyFill="1" applyBorder="1" applyAlignment="1">
      <x:alignment wrapText="1"/>
    </x:xf>
    <x:xf numFmtId="0" fontId="2" fillId="12" borderId="5" xfId="0" applyNumberFormat="1" applyFont="1" applyFill="1" applyBorder="1" applyAlignment="1">
      <x:alignment wrapText="1"/>
    </x:xf>
    <x:xf numFmtId="0" fontId="2" fillId="12" borderId="6" xfId="0" applyNumberFormat="1" applyFont="1" applyFill="1" applyBorder="1" applyAlignment="1">
      <x:alignment wrapText="1"/>
    </x:xf>
    <x:xf numFmtId="0" fontId="2" fillId="12" borderId="4" xfId="0" applyNumberFormat="1" applyFont="1" applyFill="1" applyBorder="1" applyAlignment="1">
      <x:alignment horizontal="center" wrapText="1"/>
    </x:xf>
    <x:xf numFmtId="0" fontId="2" fillId="12" borderId="5" xfId="0" applyNumberFormat="1" applyFont="1" applyFill="1" applyBorder="1" applyAlignment="1">
      <x:alignment horizontal="center" wrapText="1"/>
    </x:xf>
    <x:xf numFmtId="0" fontId="2" fillId="12" borderId="6" xfId="0" applyNumberFormat="1" applyFont="1" applyFill="1" applyBorder="1" applyAlignment="1">
      <x:alignment horizontal="center" wrapText="1"/>
    </x:xf>
    <x:xf numFmtId="0" fontId="2" fillId="12" borderId="4" xfId="0" applyNumberFormat="1" applyFont="1" applyFill="1" applyBorder="1" applyAlignment="1">
      <x:alignment horizontal="center" vertical="center" wrapText="1"/>
    </x:xf>
    <x:xf numFmtId="0" fontId="2" fillId="12" borderId="5" xfId="0" applyNumberFormat="1" applyFont="1" applyFill="1" applyBorder="1" applyAlignment="1">
      <x:alignment horizontal="center" vertical="center" wrapText="1"/>
    </x:xf>
    <x:xf numFmtId="0" fontId="2" fillId="12" borderId="6" xfId="0" applyNumberFormat="1" applyFont="1" applyFill="1" applyBorder="1" applyAlignment="1">
      <x:alignment horizontal="center" vertical="center" wrapText="1"/>
    </x:xf>
    <x:xf numFmtId="0" fontId="0" fillId="13" borderId="0" xfId="0" applyNumberFormat="1" applyFont="1" applyFill="1" applyBorder="1"/>
    <x:xf numFmtId="0" fontId="4" fillId="13" borderId="0" xfId="0" applyNumberFormat="1" applyFont="1" applyFill="1" applyBorder="1"/>
    <x:xf numFmtId="200" fontId="4" fillId="13" borderId="0" xfId="0" applyNumberFormat="1" applyFont="1" applyFill="1" applyBorder="1"/>
    <x:xf numFmtId="0" fontId="6" fillId="0" borderId="0" xfId="0" applyNumberFormat="1" applyFont="1" applyFill="1" applyBorder="1"/>
    <x:xf numFmtId="0" fontId="0" fillId="14" borderId="0" xfId="0" applyNumberFormat="1" applyFont="1" applyFill="1" applyBorder="1"/>
    <x:xf numFmtId="0" fontId="7" fillId="14" borderId="0" xfId="0" applyNumberFormat="1" applyFont="1" applyFill="1" applyBorder="1"/>
    <x:xf numFmtId="0" fontId="7" fillId="14" borderId="7" xfId="0" applyNumberFormat="1" applyFont="1" applyFill="1" applyBorder="1"/>
    <x:xf numFmtId="200" fontId="7" fillId="14" borderId="7" xfId="0" applyNumberFormat="1" applyFont="1" applyFill="1" applyBorder="1"/>
    <x:xf numFmtId="0" fontId="2" fillId="12" borderId="7" xfId="0" applyNumberFormat="1" applyFont="1" applyFill="1" applyBorder="1"/>
    <x:xf numFmtId="200" fontId="2" fillId="12" borderId="7" xfId="0" applyNumberFormat="1" applyFont="1" applyFill="1" applyBorder="1"/>
    <x:xf numFmtId="200" fontId="4" fillId="13" borderId="0" xfId="0" applyNumberFormat="1" applyFont="1" applyFill="1" applyBorder="1" applyAlignment="1">
      <x:alignment wrapText="1"/>
    </x:xf>
    <x:xf numFmtId="201" fontId="6" fillId="0" borderId="0" xfId="0" applyNumberFormat="1" applyFont="1" applyFill="1" applyBorder="1" applyAlignment="1">
      <x:alignment wrapText="1"/>
    </x:xf>
    <x:xf numFmtId="0" fontId="7" fillId="14" borderId="7" xfId="0" applyNumberFormat="1" applyFont="1" applyFill="1" applyBorder="1" applyAlignment="1">
      <x:alignment wrapText="1"/>
    </x:xf>
    <x:xf numFmtId="200" fontId="7" fillId="14" borderId="7" xfId="0" applyNumberFormat="1" applyFont="1" applyFill="1" applyBorder="1" applyAlignment="1">
      <x:alignment wrapText="1"/>
    </x:xf>
    <x:xf numFmtId="0" fontId="2" fillId="12" borderId="7" xfId="0" applyNumberFormat="1" applyFont="1" applyFill="1" applyBorder="1" applyAlignment="1">
      <x:alignment wrapText="1"/>
    </x:xf>
    <x:xf numFmtId="200" fontId="2" fillId="12" borderId="7" xfId="0" applyNumberFormat="1" applyFont="1" applyFill="1" applyBorder="1" applyAlignment="1">
      <x:alignment wrapText="1"/>
    </x:xf>
    <x:xf numFmtId="200" fontId="2" fillId="12" borderId="0" xfId="0" applyNumberFormat="1" applyFont="1" applyFill="1" applyBorder="1"/>
    <x:xf numFmtId="200" fontId="6"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2" fillId="12" borderId="0" xfId="0" applyNumberFormat="1" applyFont="1" applyFill="1" applyBorder="1" applyAlignment="1">
      <x:alignment wrapText="1"/>
    </x:xf>
    <x:xf numFmtId="200" fontId="2" fillId="12" borderId="0" xfId="0" applyNumberFormat="1" applyFont="1" applyFill="1" applyBorder="1" applyAlignment="1">
      <x:alignment wrapText="1"/>
    </x:xf>
    <x:xf numFmtId="0" fontId="2" fillId="11" borderId="0" xfId="0" applyNumberFormat="1" applyFont="1" applyFill="1" applyBorder="1"/>
    <x:xf numFmtId="0" fontId="2" fillId="11" borderId="0" xfId="0" applyNumberFormat="1" applyFont="1" applyFill="1" applyBorder="1" applyAlignment="1">
      <x:alignment horizontal="right"/>
    </x:xf>
    <x:xf numFmtId="201" fontId="4" fillId="13" borderId="0" xfId="0" applyNumberFormat="1" applyFont="1" applyFill="1" applyBorder="1"/>
    <x:xf numFmtId="204" fontId="4" fillId="13" borderId="0" xfId="0" applyNumberFormat="1" applyFont="1" applyFill="1" applyBorder="1"/>
    <x:xf numFmtId="0" fontId="7" fillId="14" borderId="0" xfId="0" applyNumberFormat="1" applyFont="1" applyFill="1" applyBorder="1" applyAlignment="1">
      <x:alignment wrapText="1"/>
    </x:xf>
    <x:xf numFmtId="0" fontId="7" fillId="14" borderId="0" xfId="0" applyNumberFormat="1" applyFont="1" applyFill="1" applyBorder="1" applyAlignment="1">
      <x:alignment horizontal="right" wrapText="1"/>
    </x:xf>
    <x:xf numFmtId="0" fontId="0" fillId="15" borderId="0" xfId="0" applyNumberFormat="1" applyFont="1" applyFill="1" applyBorder="1"/>
    <x:xf numFmtId="0" fontId="12" fillId="15" borderId="0" xfId="0" applyNumberFormat="1" applyFont="1" applyFill="1" applyBorder="1"/>
    <x:xf numFmtId="0" fontId="12" fillId="15" borderId="0" xfId="0" applyNumberFormat="1" applyFont="1" applyFill="1" applyBorder="1" applyAlignment="1">
      <x:alignment wrapText="1"/>
    </x:xf>
    <x:xf numFmtId="0" fontId="12" fillId="15" borderId="0" xfId="0" applyNumberFormat="1" applyFont="1" applyFill="1" applyBorder="1" applyAlignment="1">
      <x:alignment horizontal="right" wrapText="1"/>
    </x:xf>
    <x:xf numFmtId="204" fontId="0" fillId="0" borderId="0" xfId="0" applyNumberFormat="1" applyFont="1" applyFill="1" applyBorder="1"/>
    <x:xf numFmtId="205" fontId="0" fillId="0" borderId="0" xfId="0" applyNumberFormat="1" applyFont="1" applyFill="1" applyBorder="1"/>
    <x:xf numFmtId="201" fontId="0" fillId="0" borderId="0" xfId="0" applyNumberFormat="1" applyFont="1" applyFill="1" applyBorder="1" applyAlignment="1">
      <x:alignment wrapText="1"/>
    </x:xf>
    <x:xf numFmtId="205"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13" fillId="2" borderId="0" xfId="0" applyNumberFormat="1" applyFont="1" applyFill="1" applyBorder="1" applyAlignment="1">
      <x:alignment horizontal="center" vertical="center"/>
    </x:xf>
    <x:xf numFmtId="206" fontId="0" fillId="0" borderId="0" xfId="0" applyNumberFormat="1" applyFont="1" applyFill="1" applyBorder="1"/>
    <x:xf numFmtId="0" fontId="3" fillId="14" borderId="0" xfId="0" applyNumberFormat="1" applyFont="1" applyFill="1" applyBorder="1" applyAlignment="1">
      <x:alignment vertical="top" wrapText="1"/>
    </x:xf>
    <x:xf numFmtId="0" fontId="7" fillId="14" borderId="0" xfId="0" applyNumberFormat="1" applyFont="1" applyFill="1" applyBorder="1" applyAlignment="1">
      <x:alignment vertical="top" wrapText="1"/>
    </x:xf>
    <x:xf numFmtId="0" fontId="7" fillId="14" borderId="0" xfId="0" applyNumberFormat="1" applyFont="1" applyFill="1" applyBorder="1" applyAlignment="1">
      <x:alignment horizontal="right" vertical="top" wrapText="1"/>
    </x:xf>
    <x:xf numFmtId="0" fontId="2" fillId="11" borderId="0" xfId="0" applyNumberFormat="1" applyFont="1" applyFill="1" applyBorder="1" applyAlignment="1">
      <x:alignment horizontal="left" vertical="center"/>
    </x:xf>
    <x:xf numFmtId="0" fontId="5" fillId="11" borderId="0" xfId="0" applyNumberFormat="1" applyFont="1" applyFill="1" applyBorder="1" applyAlignment="1">
      <x:alignment horizontal="left" vertical="center"/>
    </x:xf>
    <x:xf numFmtId="0" fontId="2" fillId="12" borderId="0" xfId="0" applyNumberFormat="1" applyFont="1" applyFill="1" applyBorder="1" applyAlignment="1">
      <x:alignment horizontal="center" vertical="center" wrapText="1"/>
    </x:xf>
    <x:xf numFmtId="0" fontId="4" fillId="13" borderId="0" xfId="0" applyNumberFormat="1" applyFont="1" applyFill="1" applyBorder="1" applyAlignment="1">
      <x:alignment wrapText="1"/>
    </x:xf>
    <x:xf numFmtId="0" fontId="0" fillId="13" borderId="0" xfId="0" applyNumberFormat="1" applyFont="1" applyFill="1" applyBorder="1" applyAlignment="1">
      <x:alignment wrapText="1"/>
    </x:xf>
    <x:xf numFmtId="0" fontId="7" fillId="12" borderId="0" xfId="0" applyNumberFormat="1" applyFont="1" applyFill="1" applyBorder="1" applyAlignment="1">
      <x:alignment wrapText="1"/>
    </x:xf>
  </x:cellXfs>
  <x:cellStyles count="1">
    <x:cellStyle name="Normal" xfId="0"/>
  </x:cellStyles>
  <x:dxfs count="8">
    <x:dxf>
      <x:font>
        <x:color rgb="FFB42318"/>
      </x:font>
      <x:fill>
        <x:patternFill>
          <x:bgColor rgb="FFFDECEC"/>
        </x:patternFill>
      </x:fill>
    </x:dxf>
    <x:dxf>
      <x:font>
        <x:color rgb="FFB42318"/>
      </x:font>
      <x:fill>
        <x:patternFill>
          <x:bgColor rgb="FFFDECEC"/>
        </x:patternFill>
      </x:fill>
    </x:dxf>
    <x:dxf>
      <x:font>
        <x:color rgb="FFB42318"/>
      </x:font>
      <x:fill>
        <x:patternFill>
          <x:bgColor rgb="FFFDECEC"/>
        </x:patternFill>
      </x:fill>
    </x:dxf>
    <x:dxf>
      <x:font>
        <x:color rgb="FFB42318"/>
      </x:font>
      <x:fill>
        <x:patternFill>
          <x:bgColor rgb="FFFDECEC"/>
        </x:patternFill>
      </x:fill>
    </x:dxf>
    <x:dxf>
      <x:font>
        <x:color rgb="FFC00000"/>
      </x:font>
      <x:fill>
        <x:patternFill patternType="solid">
          <x:bgColor rgb="FFFCE8E8"/>
        </x:patternFill>
      </x:fill>
    </x:dxf>
    <x:dxf>
      <x:font>
        <x:color rgb="FF008000"/>
      </x:font>
      <x:fill>
        <x:patternFill patternType="solid">
          <x:bgColor rgb="FFEAF5F1"/>
        </x:patternFill>
      </x:fill>
    </x:dxf>
    <x:dxf>
      <x:font>
        <x:b/>
        <x:color rgb="FF008000"/>
      </x:font>
      <x:fill>
        <x:patternFill patternType="solid">
          <x:bgColor rgb="FFDDEBF7"/>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f259400d2a4596" /><Relationship Type="http://schemas.openxmlformats.org/officeDocument/2006/relationships/theme" Target="/xl/theme/theme1.xml" Id="R909a9c84a6084703" /><Relationship Type="http://schemas.openxmlformats.org/officeDocument/2006/relationships/sharedStrings" Target="/xl/sharedStrings.xml" Id="R7ed9db865357496e" /><Relationship Type="http://schemas.openxmlformats.org/officeDocument/2006/relationships/worksheet" Target="/xl/worksheets/sheet1.xml" Id="Rf1d780a139414f05" /><Relationship Type="http://schemas.openxmlformats.org/officeDocument/2006/relationships/worksheet" Target="/xl/worksheets/sheet2.xml" Id="Rc4a443d9b24142f8" /><Relationship Type="http://schemas.openxmlformats.org/officeDocument/2006/relationships/worksheet" Target="/xl/worksheets/sheet3.xml" Id="R1c6c1dd8a6314acc" /><Relationship Type="http://schemas.openxmlformats.org/officeDocument/2006/relationships/worksheet" Target="/xl/worksheets/sheet4.xml" Id="R9cbeed7410d14f11" /><Relationship Type="http://schemas.openxmlformats.org/officeDocument/2006/relationships/worksheet" Target="/xl/worksheets/sheet5.xml" Id="Rbc3f27c0684a4def" /><Relationship Type="http://schemas.openxmlformats.org/officeDocument/2006/relationships/worksheet" Target="/xl/worksheets/sheet6.xml" Id="Rdd28eff897ee4275" /><Relationship Type="http://schemas.openxmlformats.org/officeDocument/2006/relationships/worksheet" Target="/xl/worksheets/sheet7.xml" Id="R093be5884164472b" /><Relationship Type="http://schemas.openxmlformats.org/officeDocument/2006/relationships/worksheet" Target="/xl/worksheets/sheet8.xml" Id="Rb08dddcd5cd3487a" /><Relationship Type="http://schemas.openxmlformats.org/officeDocument/2006/relationships/worksheet" Target="/xl/worksheets/sheet9.xml" Id="R7f80a022158145bc" /><Relationship Type="http://schemas.openxmlformats.org/officeDocument/2006/relationships/worksheet" Target="/xl/worksheets/sheet10.xml" Id="Rfde621d6d2584fad" /><Relationship Type="http://schemas.openxmlformats.org/officeDocument/2006/relationships/worksheet" Target="/xl/worksheets/sheet11.xml" Id="Rf85b76e603f140b1" /><Relationship Type="http://schemas.openxmlformats.org/officeDocument/2006/relationships/worksheet" Target="/xl/worksheets/sheet12.xml" Id="Rc82bb9b9bd114221" /><Relationship Type="http://schemas.openxmlformats.org/officeDocument/2006/relationships/worksheet" Target="/xl/worksheets/sheet13.xml" Id="R458e554dd6a241d1" /><Relationship Type="http://schemas.openxmlformats.org/officeDocument/2006/relationships/worksheet" Target="/xl/worksheets/sheet14.xml" Id="Rf00e90aad4ba4a74" /><Relationship Type="http://schemas.openxmlformats.org/officeDocument/2006/relationships/worksheet" Target="/xl/worksheets/sheet15.xml" Id="R8e32d7d23177416b" /><Relationship Type="http://schemas.openxmlformats.org/officeDocument/2006/relationships/worksheet" Target="/xl/worksheets/sheet16.xml" Id="R55594847612b4d11" /><Relationship Type="http://schemas.openxmlformats.org/officeDocument/2006/relationships/worksheet" Target="/xl/worksheets/sheet17.xml" Id="R42b1c0a300ef4356" /><Relationship Type="http://schemas.openxmlformats.org/officeDocument/2006/relationships/worksheet" Target="/xl/worksheets/sheet18.xml" Id="Rb32ecca4666e4711" /><Relationship Type="http://schemas.openxmlformats.org/officeDocument/2006/relationships/worksheet" Target="/xl/worksheets/sheet19.xml" Id="R4030b72ee6b2472d" /><Relationship Type="http://schemas.openxmlformats.org/officeDocument/2006/relationships/worksheet" Target="/xl/worksheets/sheet20.xml" Id="R4be4563778cb4deb" /><Relationship Type="http://schemas.openxmlformats.org/officeDocument/2006/relationships/worksheet" Target="/xl/worksheets/sheet21.xml" Id="R052af8bfb1184084" /></Relationships>
</file>

<file path=xl/drawings/_rels/drawing1.xml.rels>&#65279;<?xml version="1.0" encoding="utf-8"?><Relationships xmlns="http://schemas.openxmlformats.org/package/2006/relationships"><Relationship Type="http://schemas.openxmlformats.org/officeDocument/2006/relationships/chart" Target="/xl/drawings/charts/chart1.xml" Id="R6f038bd2cba24e1b" /><Relationship Type="http://schemas.openxmlformats.org/officeDocument/2006/relationships/chart" Target="/xl/drawings/charts/chart2.xml" Id="R198c9979c4754b5b" /></Relationships>
</file>

<file path=xl/drawings/_rels/drawing2.xml.rels>&#65279;<?xml version="1.0" encoding="utf-8"?><Relationships xmlns="http://schemas.openxmlformats.org/package/2006/relationships"><Relationship Type="http://schemas.openxmlformats.org/officeDocument/2006/relationships/chart" Target="/xl/drawings/charts/chart3.xml" Id="R9eea37d100e24056" /><Relationship Type="http://schemas.openxmlformats.org/officeDocument/2006/relationships/chart" Target="/xl/drawings/charts/chart4.xml" Id="Rec39f322636444d0" /></Relationships>
</file>

<file path=xl/drawings/_rels/drawing3.xml.rels>&#65279;<?xml version="1.0" encoding="utf-8"?><Relationships xmlns="http://schemas.openxmlformats.org/package/2006/relationships"><Relationship Type="http://schemas.openxmlformats.org/officeDocument/2006/relationships/chart" Target="/xl/drawings/charts/chart5.xml" Id="Ra18c454d485e42ab" /><Relationship Type="http://schemas.openxmlformats.org/officeDocument/2006/relationships/chart" Target="/xl/drawings/charts/chart6.xml" Id="R031ccb55f55e44ab" /></Relationships>
</file>

<file path=xl/drawings/_rels/drawing4.xml.rels>&#65279;<?xml version="1.0" encoding="utf-8"?><Relationships xmlns="http://schemas.openxmlformats.org/package/2006/relationships"><Relationship Type="http://schemas.openxmlformats.org/officeDocument/2006/relationships/chart" Target="/xl/drawings/charts/chart7.xml" Id="R305c419ddfd34429" /><Relationship Type="http://schemas.openxmlformats.org/officeDocument/2006/relationships/chart" Target="/xl/drawings/charts/chart8.xml" Id="R2d8dde602f854cb7" /></Relationships>
</file>

<file path=xl/drawings/_rels/drawing5.xml.rels>&#65279;<?xml version="1.0" encoding="utf-8"?><Relationships xmlns="http://schemas.openxmlformats.org/package/2006/relationships"><Relationship Type="http://schemas.openxmlformats.org/officeDocument/2006/relationships/chart" Target="/xl/drawings/charts/chart9.xml" Id="R9eea5bc3c8b24083" /><Relationship Type="http://schemas.openxmlformats.org/officeDocument/2006/relationships/chart" Target="/xl/drawings/charts/chart10.xml" Id="R76174c45de0046f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الاستثمار التشغيلي مقابل إيراد سنة 1</a:t>
            </a:r>
          </a:p>
        </c:rich>
      </c:tx>
    </c:title>
    <c:plotArea>
      <c:barChart>
        <c:barDir val="col"/>
        <c:varyColors val="0"/>
        <c:ser>
          <c:idx val="0"/>
          <c:order val="0"/>
          <c:tx>
            <c:v>CAPEX دون الأرض/العقار</c:v>
          </c:tx>
          <c:spPr>
            <a:solidFill xmlns:a="http://schemas.openxmlformats.org/drawingml/2006/main">
              <a:srgbClr val="1F6D8C"/>
            </a:solidFill>
          </c:spPr>
          <c:cat>
            <c:strRef>
              <c:f>'Investor Dashboard'!$A$6:$A$9</c:f>
              <c:strCache>
                <c:ptCount val="0"/>
              </c:strCache>
            </c:strRef>
          </c:cat>
          <c:val>
            <c:numRef>
              <c:f>'Investor Dashboard'!$C$6:$C$9</c:f>
              <c:numCache>
                <c:formatCode>#,##0</c:formatCode>
                <c:ptCount val="0"/>
              </c:numCache>
            </c:numRef>
          </c:val>
        </c:ser>
        <c:ser>
          <c:idx val="1"/>
          <c:order val="1"/>
          <c:tx>
            <c:v>إيراد سنة 1</c:v>
          </c:tx>
          <c:spPr>
            <a:solidFill xmlns:a="http://schemas.openxmlformats.org/drawingml/2006/main">
              <a:srgbClr val="F47A2A"/>
            </a:solidFill>
          </c:spPr>
          <c:cat>
            <c:strRef>
              <c:f>'Investor Dashboard'!$A$6:$A$9</c:f>
              <c:strCache>
                <c:ptCount val="0"/>
              </c:strCache>
            </c:strRef>
          </c:cat>
          <c:val>
            <c:numRef>
              <c:f>'Investor Dashboard'!$E$6:$E$9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المشروع</a:t>
                </a:r>
              </a:p>
            </c:rich>
          </c:tx>
        </c:title>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دينار أردني</a:t>
                </a:r>
              </a:p>
            </c:rich>
          </c:tx>
        </c:title>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EBITDA سنة 1</a:t>
            </a:r>
          </a:p>
        </c:rich>
      </c:tx>
    </c:title>
    <c:plotArea>
      <c:barChart>
        <c:barDir val="col"/>
        <c:varyColors val="0"/>
        <c:ser>
          <c:idx val="0"/>
          <c:order val="0"/>
          <c:tx>
            <c:v>EBITDA</c:v>
          </c:tx>
          <c:spPr>
            <a:solidFill xmlns:a="http://schemas.openxmlformats.org/drawingml/2006/main">
              <a:srgbClr val="099999"/>
            </a:solidFill>
          </c:spPr>
          <c:cat>
            <c:strRef>
              <c:f>'Investor Dashboard'!$A$6:$A$9</c:f>
              <c:strCache>
                <c:ptCount val="0"/>
              </c:strCache>
            </c:strRef>
          </c:cat>
          <c:val>
            <c:numRef>
              <c:f>'Investor Dashboard'!$H$6:$H$9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المشروع</a:t>
                </a:r>
              </a:p>
            </c:rich>
          </c:tx>
        </c:title>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دينار أردني</a:t>
                </a:r>
              </a:p>
            </c:rich>
          </c:tx>
        </c:title>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نمو الإيرادات</a:t>
            </a:r>
          </a:p>
        </c:rich>
      </c:tx>
    </c:title>
    <c:autoTitleDeleted val="0"/>
    <c:plotArea>
      <c:lineChart>
        <c:grouping val="standard"/>
        <c:varyColors val="0"/>
        <c:ser>
          <c:idx val="0"/>
          <c:order val="0"/>
          <c:tx>
            <c:v>Series 1</c:v>
          </c:tx>
          <c:marker>
            <c:symbol val="none"/>
          </c:marker>
          <c:cat>
            <c:strRef>
              <c:f>'CS - 10Y Model'!$B$4</c:f>
              <c:strCache>
                <c:ptCount val="0"/>
              </c:strCache>
            </c:strRef>
          </c:cat>
          <c:val>
            <c:numRef>
              <c:f>'CS - 10Y Model'!$C$4</c:f>
              <c:numCache>
                <c:formatCode>#,##0;[Red](#,##0);-</c:formatCode>
                <c:ptCount val="0"/>
              </c:numCache>
            </c:numRef>
          </c:val>
        </c:ser>
        <c:ser>
          <c:idx val="1"/>
          <c:order val="1"/>
          <c:tx>
            <c:v>Series 2</c:v>
          </c:tx>
          <c:marker>
            <c:symbol val="none"/>
          </c:marker>
          <c:cat>
            <c:strRef>
              <c:f>'CS - 10Y Model'!$B$4</c:f>
              <c:strCache>
                <c:ptCount val="0"/>
              </c:strCache>
            </c:strRef>
          </c:cat>
          <c:val>
            <c:numRef>
              <c:f>'CS - 10Y Model'!$D$4</c:f>
              <c:numCache>
                <c:formatCode>#,##0;[Red](#,##0);-</c:formatCode>
                <c:ptCount val="0"/>
              </c:numCache>
            </c:numRef>
          </c:val>
        </c:ser>
        <c:ser>
          <c:idx val="2"/>
          <c:order val="2"/>
          <c:tx>
            <c:v>Series 3</c:v>
          </c:tx>
          <c:marker>
            <c:symbol val="none"/>
          </c:marker>
          <c:cat>
            <c:strRef>
              <c:f>'CS - 10Y Model'!$B$4</c:f>
              <c:strCache>
                <c:ptCount val="0"/>
              </c:strCache>
            </c:strRef>
          </c:cat>
          <c:val>
            <c:numRef>
              <c:f>'CS - 10Y Model'!$E$4</c:f>
              <c:numCache>
                <c:formatCode>#,##0;[Red](#,##0);-</c:formatCode>
                <c:ptCount val="0"/>
              </c:numCache>
            </c:numRef>
          </c:val>
        </c:ser>
        <c:ser>
          <c:idx val="3"/>
          <c:order val="3"/>
          <c:tx>
            <c:v>Series 4</c:v>
          </c:tx>
          <c:marker>
            <c:symbol val="none"/>
          </c:marker>
          <c:cat>
            <c:strRef>
              <c:f>'CS - 10Y Model'!$B$4</c:f>
              <c:strCache>
                <c:ptCount val="0"/>
              </c:strCache>
            </c:strRef>
          </c:cat>
          <c:val>
            <c:numRef>
              <c:f>'CS - 10Y Model'!$F$4</c:f>
              <c:numCache>
                <c:formatCode>#,##0;[Red](#,##0);-</c:formatCode>
                <c:ptCount val="0"/>
              </c:numCache>
            </c:numRef>
          </c:val>
        </c:ser>
        <c:ser>
          <c:idx val="4"/>
          <c:order val="4"/>
          <c:tx>
            <c:v>Series 5</c:v>
          </c:tx>
          <c:marker>
            <c:symbol val="none"/>
          </c:marker>
          <c:cat>
            <c:strRef>
              <c:f>'CS - 10Y Model'!$B$4</c:f>
              <c:strCache>
                <c:ptCount val="0"/>
              </c:strCache>
            </c:strRef>
          </c:cat>
          <c:val>
            <c:numRef>
              <c:f>'CS - 10Y Model'!$G$4</c:f>
              <c:numCache>
                <c:formatCode>#,##0;[Red](#,##0);-</c:formatCode>
                <c:ptCount val="0"/>
              </c:numCache>
            </c:numRef>
          </c:val>
        </c:ser>
        <c:ser>
          <c:idx val="5"/>
          <c:order val="5"/>
          <c:tx>
            <c:v>Series 6</c:v>
          </c:tx>
          <c:marker>
            <c:symbol val="none"/>
          </c:marker>
          <c:cat>
            <c:strRef>
              <c:f>'CS - 10Y Model'!$B$4</c:f>
              <c:strCache>
                <c:ptCount val="0"/>
              </c:strCache>
            </c:strRef>
          </c:cat>
          <c:val>
            <c:numRef>
              <c:f>'CS - 10Y Model'!$H$4</c:f>
              <c:numCache>
                <c:formatCode>#,##0;[Red](#,##0);-</c:formatCode>
                <c:ptCount val="0"/>
              </c:numCache>
            </c:numRef>
          </c:val>
        </c:ser>
        <c:ser>
          <c:idx val="6"/>
          <c:order val="6"/>
          <c:tx>
            <c:v>Series 7</c:v>
          </c:tx>
          <c:marker>
            <c:symbol val="none"/>
          </c:marker>
          <c:cat>
            <c:strRef>
              <c:f>'CS - 10Y Model'!$B$4</c:f>
              <c:strCache>
                <c:ptCount val="0"/>
              </c:strCache>
            </c:strRef>
          </c:cat>
          <c:val>
            <c:numRef>
              <c:f>'CS - 10Y Model'!$I$4</c:f>
              <c:numCache>
                <c:formatCode>#,##0;[Red](#,##0);-</c:formatCode>
                <c:ptCount val="0"/>
              </c:numCache>
            </c:numRef>
          </c:val>
        </c:ser>
        <c:ser>
          <c:idx val="7"/>
          <c:order val="7"/>
          <c:tx>
            <c:v>Series 8</c:v>
          </c:tx>
          <c:marker>
            <c:symbol val="none"/>
          </c:marker>
          <c:cat>
            <c:strRef>
              <c:f>'CS - 10Y Model'!$B$4</c:f>
              <c:strCache>
                <c:ptCount val="0"/>
              </c:strCache>
            </c:strRef>
          </c:cat>
          <c:val>
            <c:numRef>
              <c:f>'CS - 10Y Model'!$J$4</c:f>
              <c:numCache>
                <c:formatCode>#,##0;[Red](#,##0);-</c:formatCode>
                <c:ptCount val="0"/>
              </c:numCache>
            </c:numRef>
          </c:val>
        </c:ser>
        <c:ser>
          <c:idx val="8"/>
          <c:order val="8"/>
          <c:tx>
            <c:v>Series 9</c:v>
          </c:tx>
          <c:marker>
            <c:symbol val="none"/>
          </c:marker>
          <c:cat>
            <c:strRef>
              <c:f>'CS - 10Y Model'!$B$4</c:f>
              <c:strCache>
                <c:ptCount val="0"/>
              </c:strCache>
            </c:strRef>
          </c:cat>
          <c:val>
            <c:numRef>
              <c:f>'CS - 10Y Model'!$K$4</c:f>
              <c:numCache>
                <c:formatCode>#,##0;[Red](#,##0);-</c:formatCode>
                <c:ptCount val="0"/>
              </c:numCache>
            </c:numRef>
          </c:val>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EBITDA</a:t>
            </a:r>
          </a:p>
        </c:rich>
      </c:tx>
    </c:title>
    <c:autoTitleDeleted val="0"/>
    <c:plotArea>
      <c:lineChart>
        <c:grouping val="standard"/>
        <c:varyColors val="0"/>
        <c:ser>
          <c:idx val="0"/>
          <c:order val="0"/>
          <c:tx>
            <c:v>Series 1</c:v>
          </c:tx>
          <c:marker>
            <c:symbol val="none"/>
          </c:marker>
          <c:cat>
            <c:strRef>
              <c:f>'CS - 10Y Model'!$B$9</c:f>
              <c:strCache>
                <c:ptCount val="0"/>
              </c:strCache>
            </c:strRef>
          </c:cat>
          <c:val>
            <c:numRef>
              <c:f>'CS - 10Y Model'!$C$9</c:f>
              <c:numCache>
                <c:formatCode>#,##0;[Red](#,##0);-</c:formatCode>
                <c:ptCount val="0"/>
              </c:numCache>
            </c:numRef>
          </c:val>
        </c:ser>
        <c:ser>
          <c:idx val="1"/>
          <c:order val="1"/>
          <c:tx>
            <c:v>Series 2</c:v>
          </c:tx>
          <c:marker>
            <c:symbol val="none"/>
          </c:marker>
          <c:cat>
            <c:strRef>
              <c:f>'CS - 10Y Model'!$B$9</c:f>
              <c:strCache>
                <c:ptCount val="0"/>
              </c:strCache>
            </c:strRef>
          </c:cat>
          <c:val>
            <c:numRef>
              <c:f>'CS - 10Y Model'!$D$9</c:f>
              <c:numCache>
                <c:formatCode>#,##0;[Red](#,##0);-</c:formatCode>
                <c:ptCount val="0"/>
              </c:numCache>
            </c:numRef>
          </c:val>
        </c:ser>
        <c:ser>
          <c:idx val="2"/>
          <c:order val="2"/>
          <c:tx>
            <c:v>Series 3</c:v>
          </c:tx>
          <c:marker>
            <c:symbol val="none"/>
          </c:marker>
          <c:cat>
            <c:strRef>
              <c:f>'CS - 10Y Model'!$B$9</c:f>
              <c:strCache>
                <c:ptCount val="0"/>
              </c:strCache>
            </c:strRef>
          </c:cat>
          <c:val>
            <c:numRef>
              <c:f>'CS - 10Y Model'!$E$9</c:f>
              <c:numCache>
                <c:formatCode>#,##0;[Red](#,##0);-</c:formatCode>
                <c:ptCount val="0"/>
              </c:numCache>
            </c:numRef>
          </c:val>
        </c:ser>
        <c:ser>
          <c:idx val="3"/>
          <c:order val="3"/>
          <c:tx>
            <c:v>Series 4</c:v>
          </c:tx>
          <c:marker>
            <c:symbol val="none"/>
          </c:marker>
          <c:cat>
            <c:strRef>
              <c:f>'CS - 10Y Model'!$B$9</c:f>
              <c:strCache>
                <c:ptCount val="0"/>
              </c:strCache>
            </c:strRef>
          </c:cat>
          <c:val>
            <c:numRef>
              <c:f>'CS - 10Y Model'!$F$9</c:f>
              <c:numCache>
                <c:formatCode>#,##0;[Red](#,##0);-</c:formatCode>
                <c:ptCount val="0"/>
              </c:numCache>
            </c:numRef>
          </c:val>
        </c:ser>
        <c:ser>
          <c:idx val="4"/>
          <c:order val="4"/>
          <c:tx>
            <c:v>Series 5</c:v>
          </c:tx>
          <c:marker>
            <c:symbol val="none"/>
          </c:marker>
          <c:cat>
            <c:strRef>
              <c:f>'CS - 10Y Model'!$B$9</c:f>
              <c:strCache>
                <c:ptCount val="0"/>
              </c:strCache>
            </c:strRef>
          </c:cat>
          <c:val>
            <c:numRef>
              <c:f>'CS - 10Y Model'!$G$9</c:f>
              <c:numCache>
                <c:formatCode>#,##0;[Red](#,##0);-</c:formatCode>
                <c:ptCount val="0"/>
              </c:numCache>
            </c:numRef>
          </c:val>
        </c:ser>
        <c:ser>
          <c:idx val="5"/>
          <c:order val="5"/>
          <c:tx>
            <c:v>Series 6</c:v>
          </c:tx>
          <c:marker>
            <c:symbol val="none"/>
          </c:marker>
          <c:cat>
            <c:strRef>
              <c:f>'CS - 10Y Model'!$B$9</c:f>
              <c:strCache>
                <c:ptCount val="0"/>
              </c:strCache>
            </c:strRef>
          </c:cat>
          <c:val>
            <c:numRef>
              <c:f>'CS - 10Y Model'!$H$9</c:f>
              <c:numCache>
                <c:formatCode>#,##0;[Red](#,##0);-</c:formatCode>
                <c:ptCount val="0"/>
              </c:numCache>
            </c:numRef>
          </c:val>
        </c:ser>
        <c:ser>
          <c:idx val="6"/>
          <c:order val="6"/>
          <c:tx>
            <c:v>Series 7</c:v>
          </c:tx>
          <c:marker>
            <c:symbol val="none"/>
          </c:marker>
          <c:cat>
            <c:strRef>
              <c:f>'CS - 10Y Model'!$B$9</c:f>
              <c:strCache>
                <c:ptCount val="0"/>
              </c:strCache>
            </c:strRef>
          </c:cat>
          <c:val>
            <c:numRef>
              <c:f>'CS - 10Y Model'!$I$9</c:f>
              <c:numCache>
                <c:formatCode>#,##0;[Red](#,##0);-</c:formatCode>
                <c:ptCount val="0"/>
              </c:numCache>
            </c:numRef>
          </c:val>
        </c:ser>
        <c:ser>
          <c:idx val="7"/>
          <c:order val="7"/>
          <c:tx>
            <c:v>Series 8</c:v>
          </c:tx>
          <c:marker>
            <c:symbol val="none"/>
          </c:marker>
          <c:cat>
            <c:strRef>
              <c:f>'CS - 10Y Model'!$B$9</c:f>
              <c:strCache>
                <c:ptCount val="0"/>
              </c:strCache>
            </c:strRef>
          </c:cat>
          <c:val>
            <c:numRef>
              <c:f>'CS - 10Y Model'!$J$9</c:f>
              <c:numCache>
                <c:formatCode>#,##0;[Red](#,##0);-</c:formatCode>
                <c:ptCount val="0"/>
              </c:numCache>
            </c:numRef>
          </c:val>
        </c:ser>
        <c:ser>
          <c:idx val="8"/>
          <c:order val="8"/>
          <c:tx>
            <c:v>Series 9</c:v>
          </c:tx>
          <c:marker>
            <c:symbol val="none"/>
          </c:marker>
          <c:cat>
            <c:strRef>
              <c:f>'CS - 10Y Model'!$B$9</c:f>
              <c:strCache>
                <c:ptCount val="0"/>
              </c:strCache>
            </c:strRef>
          </c:cat>
          <c:val>
            <c:numRef>
              <c:f>'CS - 10Y Model'!$K$9</c:f>
              <c:numCache>
                <c:formatCode>#,##0;[Red](#,##0);-</c:formatCode>
                <c:ptCount val="0"/>
              </c:numCache>
            </c:numRef>
          </c:val>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نمو الإيرادات</a:t>
            </a:r>
          </a:p>
        </c:rich>
      </c:tx>
    </c:title>
    <c:autoTitleDeleted val="0"/>
    <c:plotArea>
      <c:lineChart>
        <c:grouping val="standard"/>
        <c:varyColors val="0"/>
        <c:ser>
          <c:idx val="0"/>
          <c:order val="0"/>
          <c:tx>
            <c:v>Series 1</c:v>
          </c:tx>
          <c:marker>
            <c:symbol val="none"/>
          </c:marker>
          <c:cat>
            <c:strRef>
              <c:f>'School - 10Y Model'!$B$4</c:f>
              <c:strCache>
                <c:ptCount val="0"/>
              </c:strCache>
            </c:strRef>
          </c:cat>
          <c:val>
            <c:numRef>
              <c:f>'School - 10Y Model'!$C$4</c:f>
              <c:numCache>
                <c:formatCode>#,##0;[Red](#,##0);-</c:formatCode>
                <c:ptCount val="0"/>
              </c:numCache>
            </c:numRef>
          </c:val>
        </c:ser>
        <c:ser>
          <c:idx val="1"/>
          <c:order val="1"/>
          <c:tx>
            <c:v>Series 2</c:v>
          </c:tx>
          <c:marker>
            <c:symbol val="none"/>
          </c:marker>
          <c:cat>
            <c:strRef>
              <c:f>'School - 10Y Model'!$B$4</c:f>
              <c:strCache>
                <c:ptCount val="0"/>
              </c:strCache>
            </c:strRef>
          </c:cat>
          <c:val>
            <c:numRef>
              <c:f>'School - 10Y Model'!$D$4</c:f>
              <c:numCache>
                <c:formatCode>#,##0;[Red](#,##0);-</c:formatCode>
                <c:ptCount val="0"/>
              </c:numCache>
            </c:numRef>
          </c:val>
        </c:ser>
        <c:ser>
          <c:idx val="2"/>
          <c:order val="2"/>
          <c:tx>
            <c:v>Series 3</c:v>
          </c:tx>
          <c:marker>
            <c:symbol val="none"/>
          </c:marker>
          <c:cat>
            <c:strRef>
              <c:f>'School - 10Y Model'!$B$4</c:f>
              <c:strCache>
                <c:ptCount val="0"/>
              </c:strCache>
            </c:strRef>
          </c:cat>
          <c:val>
            <c:numRef>
              <c:f>'School - 10Y Model'!$E$4</c:f>
              <c:numCache>
                <c:formatCode>#,##0;[Red](#,##0);-</c:formatCode>
                <c:ptCount val="0"/>
              </c:numCache>
            </c:numRef>
          </c:val>
        </c:ser>
        <c:ser>
          <c:idx val="3"/>
          <c:order val="3"/>
          <c:tx>
            <c:v>Series 4</c:v>
          </c:tx>
          <c:marker>
            <c:symbol val="none"/>
          </c:marker>
          <c:cat>
            <c:strRef>
              <c:f>'School - 10Y Model'!$B$4</c:f>
              <c:strCache>
                <c:ptCount val="0"/>
              </c:strCache>
            </c:strRef>
          </c:cat>
          <c:val>
            <c:numRef>
              <c:f>'School - 10Y Model'!$F$4</c:f>
              <c:numCache>
                <c:formatCode>#,##0;[Red](#,##0);-</c:formatCode>
                <c:ptCount val="0"/>
              </c:numCache>
            </c:numRef>
          </c:val>
        </c:ser>
        <c:ser>
          <c:idx val="4"/>
          <c:order val="4"/>
          <c:tx>
            <c:v>Series 5</c:v>
          </c:tx>
          <c:marker>
            <c:symbol val="none"/>
          </c:marker>
          <c:cat>
            <c:strRef>
              <c:f>'School - 10Y Model'!$B$4</c:f>
              <c:strCache>
                <c:ptCount val="0"/>
              </c:strCache>
            </c:strRef>
          </c:cat>
          <c:val>
            <c:numRef>
              <c:f>'School - 10Y Model'!$G$4</c:f>
              <c:numCache>
                <c:formatCode>#,##0;[Red](#,##0);-</c:formatCode>
                <c:ptCount val="0"/>
              </c:numCache>
            </c:numRef>
          </c:val>
        </c:ser>
        <c:ser>
          <c:idx val="5"/>
          <c:order val="5"/>
          <c:tx>
            <c:v>Series 6</c:v>
          </c:tx>
          <c:marker>
            <c:symbol val="none"/>
          </c:marker>
          <c:cat>
            <c:strRef>
              <c:f>'School - 10Y Model'!$B$4</c:f>
              <c:strCache>
                <c:ptCount val="0"/>
              </c:strCache>
            </c:strRef>
          </c:cat>
          <c:val>
            <c:numRef>
              <c:f>'School - 10Y Model'!$H$4</c:f>
              <c:numCache>
                <c:formatCode>#,##0;[Red](#,##0);-</c:formatCode>
                <c:ptCount val="0"/>
              </c:numCache>
            </c:numRef>
          </c:val>
        </c:ser>
        <c:ser>
          <c:idx val="6"/>
          <c:order val="6"/>
          <c:tx>
            <c:v>Series 7</c:v>
          </c:tx>
          <c:marker>
            <c:symbol val="none"/>
          </c:marker>
          <c:cat>
            <c:strRef>
              <c:f>'School - 10Y Model'!$B$4</c:f>
              <c:strCache>
                <c:ptCount val="0"/>
              </c:strCache>
            </c:strRef>
          </c:cat>
          <c:val>
            <c:numRef>
              <c:f>'School - 10Y Model'!$I$4</c:f>
              <c:numCache>
                <c:formatCode>#,##0;[Red](#,##0);-</c:formatCode>
                <c:ptCount val="0"/>
              </c:numCache>
            </c:numRef>
          </c:val>
        </c:ser>
        <c:ser>
          <c:idx val="7"/>
          <c:order val="7"/>
          <c:tx>
            <c:v>Series 8</c:v>
          </c:tx>
          <c:marker>
            <c:symbol val="none"/>
          </c:marker>
          <c:cat>
            <c:strRef>
              <c:f>'School - 10Y Model'!$B$4</c:f>
              <c:strCache>
                <c:ptCount val="0"/>
              </c:strCache>
            </c:strRef>
          </c:cat>
          <c:val>
            <c:numRef>
              <c:f>'School - 10Y Model'!$J$4</c:f>
              <c:numCache>
                <c:formatCode>#,##0;[Red](#,##0);-</c:formatCode>
                <c:ptCount val="0"/>
              </c:numCache>
            </c:numRef>
          </c:val>
        </c:ser>
        <c:ser>
          <c:idx val="8"/>
          <c:order val="8"/>
          <c:tx>
            <c:v>Series 9</c:v>
          </c:tx>
          <c:marker>
            <c:symbol val="none"/>
          </c:marker>
          <c:cat>
            <c:strRef>
              <c:f>'School - 10Y Model'!$B$4</c:f>
              <c:strCache>
                <c:ptCount val="0"/>
              </c:strCache>
            </c:strRef>
          </c:cat>
          <c:val>
            <c:numRef>
              <c:f>'School - 10Y Model'!$K$4</c:f>
              <c:numCache>
                <c:formatCode>#,##0;[Red](#,##0);-</c:formatCode>
                <c:ptCount val="0"/>
              </c:numCache>
            </c:numRef>
          </c:val>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EBITDA</a:t>
            </a:r>
          </a:p>
        </c:rich>
      </c:tx>
    </c:title>
    <c:autoTitleDeleted val="0"/>
    <c:plotArea>
      <c:lineChart>
        <c:grouping val="standard"/>
        <c:varyColors val="0"/>
        <c:ser>
          <c:idx val="0"/>
          <c:order val="0"/>
          <c:tx>
            <c:v>Series 1</c:v>
          </c:tx>
          <c:marker>
            <c:symbol val="none"/>
          </c:marker>
          <c:cat>
            <c:strRef>
              <c:f>'School - 10Y Model'!$B$9</c:f>
              <c:strCache>
                <c:ptCount val="0"/>
              </c:strCache>
            </c:strRef>
          </c:cat>
          <c:val>
            <c:numRef>
              <c:f>'School - 10Y Model'!$C$9</c:f>
              <c:numCache>
                <c:formatCode>#,##0;[Red](#,##0);-</c:formatCode>
                <c:ptCount val="0"/>
              </c:numCache>
            </c:numRef>
          </c:val>
        </c:ser>
        <c:ser>
          <c:idx val="1"/>
          <c:order val="1"/>
          <c:tx>
            <c:v>Series 2</c:v>
          </c:tx>
          <c:marker>
            <c:symbol val="none"/>
          </c:marker>
          <c:cat>
            <c:strRef>
              <c:f>'School - 10Y Model'!$B$9</c:f>
              <c:strCache>
                <c:ptCount val="0"/>
              </c:strCache>
            </c:strRef>
          </c:cat>
          <c:val>
            <c:numRef>
              <c:f>'School - 10Y Model'!$D$9</c:f>
              <c:numCache>
                <c:formatCode>#,##0;[Red](#,##0);-</c:formatCode>
                <c:ptCount val="0"/>
              </c:numCache>
            </c:numRef>
          </c:val>
        </c:ser>
        <c:ser>
          <c:idx val="2"/>
          <c:order val="2"/>
          <c:tx>
            <c:v>Series 3</c:v>
          </c:tx>
          <c:marker>
            <c:symbol val="none"/>
          </c:marker>
          <c:cat>
            <c:strRef>
              <c:f>'School - 10Y Model'!$B$9</c:f>
              <c:strCache>
                <c:ptCount val="0"/>
              </c:strCache>
            </c:strRef>
          </c:cat>
          <c:val>
            <c:numRef>
              <c:f>'School - 10Y Model'!$E$9</c:f>
              <c:numCache>
                <c:formatCode>#,##0;[Red](#,##0);-</c:formatCode>
                <c:ptCount val="0"/>
              </c:numCache>
            </c:numRef>
          </c:val>
        </c:ser>
        <c:ser>
          <c:idx val="3"/>
          <c:order val="3"/>
          <c:tx>
            <c:v>Series 4</c:v>
          </c:tx>
          <c:marker>
            <c:symbol val="none"/>
          </c:marker>
          <c:cat>
            <c:strRef>
              <c:f>'School - 10Y Model'!$B$9</c:f>
              <c:strCache>
                <c:ptCount val="0"/>
              </c:strCache>
            </c:strRef>
          </c:cat>
          <c:val>
            <c:numRef>
              <c:f>'School - 10Y Model'!$F$9</c:f>
              <c:numCache>
                <c:formatCode>#,##0;[Red](#,##0);-</c:formatCode>
                <c:ptCount val="0"/>
              </c:numCache>
            </c:numRef>
          </c:val>
        </c:ser>
        <c:ser>
          <c:idx val="4"/>
          <c:order val="4"/>
          <c:tx>
            <c:v>Series 5</c:v>
          </c:tx>
          <c:marker>
            <c:symbol val="none"/>
          </c:marker>
          <c:cat>
            <c:strRef>
              <c:f>'School - 10Y Model'!$B$9</c:f>
              <c:strCache>
                <c:ptCount val="0"/>
              </c:strCache>
            </c:strRef>
          </c:cat>
          <c:val>
            <c:numRef>
              <c:f>'School - 10Y Model'!$G$9</c:f>
              <c:numCache>
                <c:formatCode>#,##0;[Red](#,##0);-</c:formatCode>
                <c:ptCount val="0"/>
              </c:numCache>
            </c:numRef>
          </c:val>
        </c:ser>
        <c:ser>
          <c:idx val="5"/>
          <c:order val="5"/>
          <c:tx>
            <c:v>Series 6</c:v>
          </c:tx>
          <c:marker>
            <c:symbol val="none"/>
          </c:marker>
          <c:cat>
            <c:strRef>
              <c:f>'School - 10Y Model'!$B$9</c:f>
              <c:strCache>
                <c:ptCount val="0"/>
              </c:strCache>
            </c:strRef>
          </c:cat>
          <c:val>
            <c:numRef>
              <c:f>'School - 10Y Model'!$H$9</c:f>
              <c:numCache>
                <c:formatCode>#,##0;[Red](#,##0);-</c:formatCode>
                <c:ptCount val="0"/>
              </c:numCache>
            </c:numRef>
          </c:val>
        </c:ser>
        <c:ser>
          <c:idx val="6"/>
          <c:order val="6"/>
          <c:tx>
            <c:v>Series 7</c:v>
          </c:tx>
          <c:marker>
            <c:symbol val="none"/>
          </c:marker>
          <c:cat>
            <c:strRef>
              <c:f>'School - 10Y Model'!$B$9</c:f>
              <c:strCache>
                <c:ptCount val="0"/>
              </c:strCache>
            </c:strRef>
          </c:cat>
          <c:val>
            <c:numRef>
              <c:f>'School - 10Y Model'!$I$9</c:f>
              <c:numCache>
                <c:formatCode>#,##0;[Red](#,##0);-</c:formatCode>
                <c:ptCount val="0"/>
              </c:numCache>
            </c:numRef>
          </c:val>
        </c:ser>
        <c:ser>
          <c:idx val="7"/>
          <c:order val="7"/>
          <c:tx>
            <c:v>Series 8</c:v>
          </c:tx>
          <c:marker>
            <c:symbol val="none"/>
          </c:marker>
          <c:cat>
            <c:strRef>
              <c:f>'School - 10Y Model'!$B$9</c:f>
              <c:strCache>
                <c:ptCount val="0"/>
              </c:strCache>
            </c:strRef>
          </c:cat>
          <c:val>
            <c:numRef>
              <c:f>'School - 10Y Model'!$J$9</c:f>
              <c:numCache>
                <c:formatCode>#,##0;[Red](#,##0);-</c:formatCode>
                <c:ptCount val="0"/>
              </c:numCache>
            </c:numRef>
          </c:val>
        </c:ser>
        <c:ser>
          <c:idx val="8"/>
          <c:order val="8"/>
          <c:tx>
            <c:v>Series 9</c:v>
          </c:tx>
          <c:marker>
            <c:symbol val="none"/>
          </c:marker>
          <c:cat>
            <c:strRef>
              <c:f>'School - 10Y Model'!$B$9</c:f>
              <c:strCache>
                <c:ptCount val="0"/>
              </c:strCache>
            </c:strRef>
          </c:cat>
          <c:val>
            <c:numRef>
              <c:f>'School - 10Y Model'!$K$9</c:f>
              <c:numCache>
                <c:formatCode>#,##0;[Red](#,##0);-</c:formatCode>
                <c:ptCount val="0"/>
              </c:numCache>
            </c:numRef>
          </c:val>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نمو الإيرادات</a:t>
            </a:r>
          </a:p>
        </c:rich>
      </c:tx>
    </c:title>
    <c:autoTitleDeleted val="0"/>
    <c:plotArea>
      <c:lineChart>
        <c:grouping val="standard"/>
        <c:varyColors val="0"/>
        <c:ser>
          <c:idx val="0"/>
          <c:order val="0"/>
          <c:tx>
            <c:v>Series 1</c:v>
          </c:tx>
          <c:marker>
            <c:symbol val="none"/>
          </c:marker>
          <c:cat>
            <c:strRef>
              <c:f>'CH - 10Y Model'!$B$4</c:f>
              <c:strCache>
                <c:ptCount val="0"/>
              </c:strCache>
            </c:strRef>
          </c:cat>
          <c:val>
            <c:numRef>
              <c:f>'CH - 10Y Model'!$C$4</c:f>
              <c:numCache>
                <c:formatCode>#,##0;[Red](#,##0);-</c:formatCode>
                <c:ptCount val="0"/>
              </c:numCache>
            </c:numRef>
          </c:val>
        </c:ser>
        <c:ser>
          <c:idx val="1"/>
          <c:order val="1"/>
          <c:tx>
            <c:v>Series 2</c:v>
          </c:tx>
          <c:marker>
            <c:symbol val="none"/>
          </c:marker>
          <c:cat>
            <c:strRef>
              <c:f>'CH - 10Y Model'!$B$4</c:f>
              <c:strCache>
                <c:ptCount val="0"/>
              </c:strCache>
            </c:strRef>
          </c:cat>
          <c:val>
            <c:numRef>
              <c:f>'CH - 10Y Model'!$D$4</c:f>
              <c:numCache>
                <c:formatCode>#,##0;[Red](#,##0);-</c:formatCode>
                <c:ptCount val="0"/>
              </c:numCache>
            </c:numRef>
          </c:val>
        </c:ser>
        <c:ser>
          <c:idx val="2"/>
          <c:order val="2"/>
          <c:tx>
            <c:v>Series 3</c:v>
          </c:tx>
          <c:marker>
            <c:symbol val="none"/>
          </c:marker>
          <c:cat>
            <c:strRef>
              <c:f>'CH - 10Y Model'!$B$4</c:f>
              <c:strCache>
                <c:ptCount val="0"/>
              </c:strCache>
            </c:strRef>
          </c:cat>
          <c:val>
            <c:numRef>
              <c:f>'CH - 10Y Model'!$E$4</c:f>
              <c:numCache>
                <c:formatCode>#,##0;[Red](#,##0);-</c:formatCode>
                <c:ptCount val="0"/>
              </c:numCache>
            </c:numRef>
          </c:val>
        </c:ser>
        <c:ser>
          <c:idx val="3"/>
          <c:order val="3"/>
          <c:tx>
            <c:v>Series 4</c:v>
          </c:tx>
          <c:marker>
            <c:symbol val="none"/>
          </c:marker>
          <c:cat>
            <c:strRef>
              <c:f>'CH - 10Y Model'!$B$4</c:f>
              <c:strCache>
                <c:ptCount val="0"/>
              </c:strCache>
            </c:strRef>
          </c:cat>
          <c:val>
            <c:numRef>
              <c:f>'CH - 10Y Model'!$F$4</c:f>
              <c:numCache>
                <c:formatCode>#,##0;[Red](#,##0);-</c:formatCode>
                <c:ptCount val="0"/>
              </c:numCache>
            </c:numRef>
          </c:val>
        </c:ser>
        <c:ser>
          <c:idx val="4"/>
          <c:order val="4"/>
          <c:tx>
            <c:v>Series 5</c:v>
          </c:tx>
          <c:marker>
            <c:symbol val="none"/>
          </c:marker>
          <c:cat>
            <c:strRef>
              <c:f>'CH - 10Y Model'!$B$4</c:f>
              <c:strCache>
                <c:ptCount val="0"/>
              </c:strCache>
            </c:strRef>
          </c:cat>
          <c:val>
            <c:numRef>
              <c:f>'CH - 10Y Model'!$G$4</c:f>
              <c:numCache>
                <c:formatCode>#,##0;[Red](#,##0);-</c:formatCode>
                <c:ptCount val="0"/>
              </c:numCache>
            </c:numRef>
          </c:val>
        </c:ser>
        <c:ser>
          <c:idx val="5"/>
          <c:order val="5"/>
          <c:tx>
            <c:v>Series 6</c:v>
          </c:tx>
          <c:marker>
            <c:symbol val="none"/>
          </c:marker>
          <c:cat>
            <c:strRef>
              <c:f>'CH - 10Y Model'!$B$4</c:f>
              <c:strCache>
                <c:ptCount val="0"/>
              </c:strCache>
            </c:strRef>
          </c:cat>
          <c:val>
            <c:numRef>
              <c:f>'CH - 10Y Model'!$H$4</c:f>
              <c:numCache>
                <c:formatCode>#,##0;[Red](#,##0);-</c:formatCode>
                <c:ptCount val="0"/>
              </c:numCache>
            </c:numRef>
          </c:val>
        </c:ser>
        <c:ser>
          <c:idx val="6"/>
          <c:order val="6"/>
          <c:tx>
            <c:v>Series 7</c:v>
          </c:tx>
          <c:marker>
            <c:symbol val="none"/>
          </c:marker>
          <c:cat>
            <c:strRef>
              <c:f>'CH - 10Y Model'!$B$4</c:f>
              <c:strCache>
                <c:ptCount val="0"/>
              </c:strCache>
            </c:strRef>
          </c:cat>
          <c:val>
            <c:numRef>
              <c:f>'CH - 10Y Model'!$I$4</c:f>
              <c:numCache>
                <c:formatCode>#,##0;[Red](#,##0);-</c:formatCode>
                <c:ptCount val="0"/>
              </c:numCache>
            </c:numRef>
          </c:val>
        </c:ser>
        <c:ser>
          <c:idx val="7"/>
          <c:order val="7"/>
          <c:tx>
            <c:v>Series 8</c:v>
          </c:tx>
          <c:marker>
            <c:symbol val="none"/>
          </c:marker>
          <c:cat>
            <c:strRef>
              <c:f>'CH - 10Y Model'!$B$4</c:f>
              <c:strCache>
                <c:ptCount val="0"/>
              </c:strCache>
            </c:strRef>
          </c:cat>
          <c:val>
            <c:numRef>
              <c:f>'CH - 10Y Model'!$J$4</c:f>
              <c:numCache>
                <c:formatCode>#,##0;[Red](#,##0);-</c:formatCode>
                <c:ptCount val="0"/>
              </c:numCache>
            </c:numRef>
          </c:val>
        </c:ser>
        <c:ser>
          <c:idx val="8"/>
          <c:order val="8"/>
          <c:tx>
            <c:v>Series 9</c:v>
          </c:tx>
          <c:marker>
            <c:symbol val="none"/>
          </c:marker>
          <c:cat>
            <c:strRef>
              <c:f>'CH - 10Y Model'!$B$4</c:f>
              <c:strCache>
                <c:ptCount val="0"/>
              </c:strCache>
            </c:strRef>
          </c:cat>
          <c:val>
            <c:numRef>
              <c:f>'CH - 10Y Model'!$K$4</c:f>
              <c:numCache>
                <c:formatCode>#,##0;[Red](#,##0);-</c:formatCode>
                <c:ptCount val="0"/>
              </c:numCache>
            </c:numRef>
          </c:val>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EBITDA</a:t>
            </a:r>
          </a:p>
        </c:rich>
      </c:tx>
    </c:title>
    <c:autoTitleDeleted val="0"/>
    <c:plotArea>
      <c:lineChart>
        <c:grouping val="standard"/>
        <c:varyColors val="0"/>
        <c:ser>
          <c:idx val="0"/>
          <c:order val="0"/>
          <c:tx>
            <c:v>Series 1</c:v>
          </c:tx>
          <c:marker>
            <c:symbol val="none"/>
          </c:marker>
          <c:cat>
            <c:strRef>
              <c:f>'CH - 10Y Model'!$B$9</c:f>
              <c:strCache>
                <c:ptCount val="0"/>
              </c:strCache>
            </c:strRef>
          </c:cat>
          <c:val>
            <c:numRef>
              <c:f>'CH - 10Y Model'!$C$9</c:f>
              <c:numCache>
                <c:formatCode>#,##0;[Red](#,##0);-</c:formatCode>
                <c:ptCount val="0"/>
              </c:numCache>
            </c:numRef>
          </c:val>
        </c:ser>
        <c:ser>
          <c:idx val="1"/>
          <c:order val="1"/>
          <c:tx>
            <c:v>Series 2</c:v>
          </c:tx>
          <c:marker>
            <c:symbol val="none"/>
          </c:marker>
          <c:cat>
            <c:strRef>
              <c:f>'CH - 10Y Model'!$B$9</c:f>
              <c:strCache>
                <c:ptCount val="0"/>
              </c:strCache>
            </c:strRef>
          </c:cat>
          <c:val>
            <c:numRef>
              <c:f>'CH - 10Y Model'!$D$9</c:f>
              <c:numCache>
                <c:formatCode>#,##0;[Red](#,##0);-</c:formatCode>
                <c:ptCount val="0"/>
              </c:numCache>
            </c:numRef>
          </c:val>
        </c:ser>
        <c:ser>
          <c:idx val="2"/>
          <c:order val="2"/>
          <c:tx>
            <c:v>Series 3</c:v>
          </c:tx>
          <c:marker>
            <c:symbol val="none"/>
          </c:marker>
          <c:cat>
            <c:strRef>
              <c:f>'CH - 10Y Model'!$B$9</c:f>
              <c:strCache>
                <c:ptCount val="0"/>
              </c:strCache>
            </c:strRef>
          </c:cat>
          <c:val>
            <c:numRef>
              <c:f>'CH - 10Y Model'!$E$9</c:f>
              <c:numCache>
                <c:formatCode>#,##0;[Red](#,##0);-</c:formatCode>
                <c:ptCount val="0"/>
              </c:numCache>
            </c:numRef>
          </c:val>
        </c:ser>
        <c:ser>
          <c:idx val="3"/>
          <c:order val="3"/>
          <c:tx>
            <c:v>Series 4</c:v>
          </c:tx>
          <c:marker>
            <c:symbol val="none"/>
          </c:marker>
          <c:cat>
            <c:strRef>
              <c:f>'CH - 10Y Model'!$B$9</c:f>
              <c:strCache>
                <c:ptCount val="0"/>
              </c:strCache>
            </c:strRef>
          </c:cat>
          <c:val>
            <c:numRef>
              <c:f>'CH - 10Y Model'!$F$9</c:f>
              <c:numCache>
                <c:formatCode>#,##0;[Red](#,##0);-</c:formatCode>
                <c:ptCount val="0"/>
              </c:numCache>
            </c:numRef>
          </c:val>
        </c:ser>
        <c:ser>
          <c:idx val="4"/>
          <c:order val="4"/>
          <c:tx>
            <c:v>Series 5</c:v>
          </c:tx>
          <c:marker>
            <c:symbol val="none"/>
          </c:marker>
          <c:cat>
            <c:strRef>
              <c:f>'CH - 10Y Model'!$B$9</c:f>
              <c:strCache>
                <c:ptCount val="0"/>
              </c:strCache>
            </c:strRef>
          </c:cat>
          <c:val>
            <c:numRef>
              <c:f>'CH - 10Y Model'!$G$9</c:f>
              <c:numCache>
                <c:formatCode>#,##0;[Red](#,##0);-</c:formatCode>
                <c:ptCount val="0"/>
              </c:numCache>
            </c:numRef>
          </c:val>
        </c:ser>
        <c:ser>
          <c:idx val="5"/>
          <c:order val="5"/>
          <c:tx>
            <c:v>Series 6</c:v>
          </c:tx>
          <c:marker>
            <c:symbol val="none"/>
          </c:marker>
          <c:cat>
            <c:strRef>
              <c:f>'CH - 10Y Model'!$B$9</c:f>
              <c:strCache>
                <c:ptCount val="0"/>
              </c:strCache>
            </c:strRef>
          </c:cat>
          <c:val>
            <c:numRef>
              <c:f>'CH - 10Y Model'!$H$9</c:f>
              <c:numCache>
                <c:formatCode>#,##0;[Red](#,##0);-</c:formatCode>
                <c:ptCount val="0"/>
              </c:numCache>
            </c:numRef>
          </c:val>
        </c:ser>
        <c:ser>
          <c:idx val="6"/>
          <c:order val="6"/>
          <c:tx>
            <c:v>Series 7</c:v>
          </c:tx>
          <c:marker>
            <c:symbol val="none"/>
          </c:marker>
          <c:cat>
            <c:strRef>
              <c:f>'CH - 10Y Model'!$B$9</c:f>
              <c:strCache>
                <c:ptCount val="0"/>
              </c:strCache>
            </c:strRef>
          </c:cat>
          <c:val>
            <c:numRef>
              <c:f>'CH - 10Y Model'!$I$9</c:f>
              <c:numCache>
                <c:formatCode>#,##0;[Red](#,##0);-</c:formatCode>
                <c:ptCount val="0"/>
              </c:numCache>
            </c:numRef>
          </c:val>
        </c:ser>
        <c:ser>
          <c:idx val="7"/>
          <c:order val="7"/>
          <c:tx>
            <c:v>Series 8</c:v>
          </c:tx>
          <c:marker>
            <c:symbol val="none"/>
          </c:marker>
          <c:cat>
            <c:strRef>
              <c:f>'CH - 10Y Model'!$B$9</c:f>
              <c:strCache>
                <c:ptCount val="0"/>
              </c:strCache>
            </c:strRef>
          </c:cat>
          <c:val>
            <c:numRef>
              <c:f>'CH - 10Y Model'!$J$9</c:f>
              <c:numCache>
                <c:formatCode>#,##0;[Red](#,##0);-</c:formatCode>
                <c:ptCount val="0"/>
              </c:numCache>
            </c:numRef>
          </c:val>
        </c:ser>
        <c:ser>
          <c:idx val="8"/>
          <c:order val="8"/>
          <c:tx>
            <c:v>Series 9</c:v>
          </c:tx>
          <c:marker>
            <c:symbol val="none"/>
          </c:marker>
          <c:cat>
            <c:strRef>
              <c:f>'CH - 10Y Model'!$B$9</c:f>
              <c:strCache>
                <c:ptCount val="0"/>
              </c:strCache>
            </c:strRef>
          </c:cat>
          <c:val>
            <c:numRef>
              <c:f>'CH - 10Y Model'!$K$9</c:f>
              <c:numCache>
                <c:formatCode>#,##0;[Red](#,##0);-</c:formatCode>
                <c:ptCount val="0"/>
              </c:numCache>
            </c:numRef>
          </c:val>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نمو الإيرادات - JOD</a:t>
            </a:r>
          </a:p>
        </c:rich>
      </c:tx>
    </c:title>
    <c:plotArea>
      <c:lineChart>
        <c:grouping val="standard"/>
        <c:ser>
          <c:idx val="0"/>
          <c:order val="0"/>
          <c:tx>
            <c:v>الإيرادات</c:v>
          </c:tx>
          <c:spPr>
            <a:solidFill xmlns:a="http://schemas.openxmlformats.org/drawingml/2006/main">
              <a:srgbClr val="099999"/>
            </a:solidFill>
          </c:spPr>
          <c:marker>
            <c:symbol val="none"/>
          </c:marker>
          <c:cat>
            <c:strRef>
              <c:f>'Dress - 10Y Model'!$B$3:$K$3</c:f>
              <c:strCache>
                <c:ptCount val="0"/>
              </c:strCache>
            </c:strRef>
          </c:cat>
          <c:val>
            <c:numRef>
              <c:f>'Dress - 10Y Model'!$B$4:$K$4</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السنة</a:t>
                </a:r>
              </a:p>
            </c:rich>
          </c:tx>
        </c:title>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دينار أردني</a:t>
                </a:r>
              </a:p>
            </c:rich>
          </c:tx>
        </c:title>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EBITDA - JOD</a:t>
            </a:r>
          </a:p>
        </c:rich>
      </c:tx>
    </c:title>
    <c:plotArea>
      <c:barChart>
        <c:barDir val="col"/>
        <c:varyColors val="0"/>
        <c:ser>
          <c:idx val="0"/>
          <c:order val="0"/>
          <c:tx>
            <c:v>EBITDA</c:v>
          </c:tx>
          <c:spPr>
            <a:solidFill xmlns:a="http://schemas.openxmlformats.org/drawingml/2006/main">
              <a:srgbClr val="1F6D8C"/>
            </a:solidFill>
          </c:spPr>
          <c:cat>
            <c:strRef>
              <c:f>'Dress - 10Y Model'!$B$3:$K$3</c:f>
              <c:strCache>
                <c:ptCount val="0"/>
              </c:strCache>
            </c:strRef>
          </c:cat>
          <c:val>
            <c:numRef>
              <c:f>'Dress - 10Y Model'!$B$9:$K$9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السنة</a:t>
                </a:r>
              </a:p>
            </c:rich>
          </c:tx>
        </c:title>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دينار أردني</a:t>
                </a:r>
              </a:p>
            </c:rich>
          </c:tx>
        </c:title>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17</xdr:row>
      <xdr:rowOff>0</xdr:rowOff>
    </xdr:from>
    <xdr:to>
      <xdr:col>6</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038bd2cba24e1b"/>
        </a:graphicData>
      </a:graphic>
    </xdr:graphicFrame>
    <xdr:clientData/>
  </xdr:twoCellAnchor>
  <xdr:twoCellAnchor>
    <xdr:from>
      <xdr:col>6</xdr:col>
      <xdr:colOff>0</xdr:colOff>
      <xdr:row>17</xdr:row>
      <xdr:rowOff>0</xdr:rowOff>
    </xdr:from>
    <xdr:to>
      <xdr:col>10</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8c9979c4754b5b"/>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23</xdr:row>
      <xdr:rowOff>0</xdr:rowOff>
    </xdr:from>
    <xdr:to>
      <xdr:col>6</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eea37d100e24056"/>
        </a:graphicData>
      </a:graphic>
    </xdr:graphicFrame>
    <xdr:clientData/>
  </xdr:twoCellAnchor>
  <xdr:twoCellAnchor>
    <xdr:from>
      <xdr:col>6</xdr:col>
      <xdr:colOff>0</xdr:colOff>
      <xdr:row>23</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39f322636444d0"/>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23</xdr:row>
      <xdr:rowOff>0</xdr:rowOff>
    </xdr:from>
    <xdr:to>
      <xdr:col>6</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8c454d485e42ab"/>
        </a:graphicData>
      </a:graphic>
    </xdr:graphicFrame>
    <xdr:clientData/>
  </xdr:twoCellAnchor>
  <xdr:twoCellAnchor>
    <xdr:from>
      <xdr:col>6</xdr:col>
      <xdr:colOff>0</xdr:colOff>
      <xdr:row>23</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1ccb55f55e44ab"/>
        </a:graphicData>
      </a:graphic>
    </xdr:graphicFrame>
    <xdr:clientData/>
  </xdr:twoCellAnchor>
</xdr:wsDr>
</file>

<file path=xl/drawings/drawing4.xml><?xml version="1.0" encoding="utf-8"?>
<xdr:wsDr xmlns:xdr="http://schemas.openxmlformats.org/drawingml/2006/spreadsheetDrawing">
  <xdr:twoCellAnchor>
    <xdr:from>
      <xdr:col>0</xdr:col>
      <xdr:colOff>0</xdr:colOff>
      <xdr:row>23</xdr:row>
      <xdr:rowOff>0</xdr:rowOff>
    </xdr:from>
    <xdr:to>
      <xdr:col>6</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05c419ddfd34429"/>
        </a:graphicData>
      </a:graphic>
    </xdr:graphicFrame>
    <xdr:clientData/>
  </xdr:twoCellAnchor>
  <xdr:twoCellAnchor>
    <xdr:from>
      <xdr:col>6</xdr:col>
      <xdr:colOff>0</xdr:colOff>
      <xdr:row>23</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8dde602f854cb7"/>
        </a:graphicData>
      </a:graphic>
    </xdr:graphicFrame>
    <xdr:clientData/>
  </xdr:twoCellAnchor>
</xdr:wsDr>
</file>

<file path=xl/drawings/drawing5.xml><?xml version="1.0" encoding="utf-8"?>
<xdr:wsDr xmlns:xdr="http://schemas.openxmlformats.org/drawingml/2006/spreadsheetDrawing">
  <xdr:twoCellAnchor>
    <xdr:from>
      <xdr:col>0</xdr:col>
      <xdr:colOff>0</xdr:colOff>
      <xdr:row>27</xdr:row>
      <xdr:rowOff>0</xdr:rowOff>
    </xdr:from>
    <xdr:to>
      <xdr:col>6</xdr:col>
      <xdr:colOff>0</xdr:colOff>
      <xdr:row>40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eea5bc3c8b24083"/>
        </a:graphicData>
      </a:graphic>
    </xdr:graphicFrame>
    <xdr:clientData/>
  </xdr:twoCellAnchor>
  <xdr:twoCellAnchor>
    <xdr:from>
      <xdr:col>6</xdr:col>
      <xdr:colOff>0</xdr:colOff>
      <xdr:row>27</xdr:row>
      <xdr:rowOff>0</xdr:rowOff>
    </xdr:from>
    <xdr:to>
      <xdr:col>12</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6174c45de0046f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169a4469c9b4d9a" /></Relationships>
</file>

<file path=xl/worksheets/_rels/sheet6.xml.rels>&#65279;<?xml version="1.0" encoding="utf-8"?><Relationships xmlns="http://schemas.openxmlformats.org/package/2006/relationships"><Relationship Type="http://schemas.openxmlformats.org/officeDocument/2006/relationships/drawing" Target="/xl/drawings/drawing2.xml" Id="R081f8608be0a4890" /></Relationships>
</file>

<file path=xl/worksheets/_rels/sheet10.xml.rels>&#65279;<?xml version="1.0" encoding="utf-8"?><Relationships xmlns="http://schemas.openxmlformats.org/package/2006/relationships"><Relationship Type="http://schemas.openxmlformats.org/officeDocument/2006/relationships/drawing" Target="/xl/drawings/drawing3.xml" Id="R5285e8534fd7415d" /></Relationships>
</file>

<file path=xl/worksheets/_rels/sheet14.xml.rels>&#65279;<?xml version="1.0" encoding="utf-8"?><Relationships xmlns="http://schemas.openxmlformats.org/package/2006/relationships"><Relationship Type="http://schemas.openxmlformats.org/officeDocument/2006/relationships/drawing" Target="/xl/drawings/drawing4.xml" Id="R54e6b8f40f80433a" /></Relationships>
</file>

<file path=xl/worksheets/_rels/sheet20.xml.rels>&#65279;<?xml version="1.0" encoding="utf-8"?><Relationships xmlns="http://schemas.openxmlformats.org/package/2006/relationships"><Relationship Type="http://schemas.openxmlformats.org/officeDocument/2006/relationships/drawing" Target="/xl/drawings/drawing5.xml" Id="R3c93f70a1cdd408b" /></Relationships>
</file>

<file path=xl/worksheets/sheet1.xml><?xml version="1.0" encoding="utf-8"?>
<x:worksheet xmlns:x="http://schemas.openxmlformats.org/spreadsheetml/2006/main">
  <x:sheetFormatPr defaultRowHeight="15"/>
  <x:cols>
    <x:col min="1" max="1" width="24" hidden="0" customWidth="1"/>
    <x:col min="2" max="2" width="38" hidden="0" customWidth="1"/>
    <x:col min="3" max="3" width="17" hidden="0" customWidth="1"/>
    <x:col min="4" max="4" width="15" hidden="0" customWidth="1"/>
    <x:col min="5" max="5" width="17" hidden="0" customWidth="1"/>
    <x:col min="6" max="6" width="19" hidden="0" customWidth="1"/>
    <x:col min="7" max="7" width="18" hidden="0" customWidth="1"/>
    <x:col min="8" max="8" width="18" hidden="0" customWidth="1"/>
    <x:col min="9" max="9" width="14" hidden="0" customWidth="1"/>
    <x:col min="10" max="10" width="18" hidden="0" customWidth="1"/>
  </x:cols>
  <x:sheetData>
    <x:row r="1" ht="50" customHeight="1">
      <x:c r="A1" s="158" t="str">
        <x:v>المقارنة الاستثمارية الشاملة - الرابية والسهل</x:v>
      </x:c>
      <x:c r="B1" s="158"/>
      <x:c r="C1" s="158"/>
      <x:c r="D1" s="158"/>
      <x:c r="E1" s="158"/>
      <x:c r="F1" s="158"/>
      <x:c r="G1" s="158"/>
      <x:c r="H1" s="158"/>
      <x:c r="I1" s="158"/>
      <x:c r="J1" s="158"/>
    </x:row>
    <x:row r="2">
      <x:c r="A2" s="5"/>
      <x:c r="B2" s="5"/>
      <x:c r="C2" s="5"/>
      <x:c r="D2" s="5"/>
      <x:c r="E2" s="5"/>
      <x:c r="F2" s="5"/>
      <x:c r="G2" s="5"/>
      <x:c r="H2" s="5"/>
      <x:c r="I2" s="5"/>
      <x:c r="J2" s="5"/>
    </x:row>
    <x:row r="3" ht="28" customHeight="1">
      <x:c r="A3" s="12" t="str">
        <x:v>كوفي شوب | مدرسة ثانوية خاصة | كوفي هاوس | تأجير فساتين زفاف - جميع القيم بالدينار الأردني JOD</x:v>
      </x:c>
      <x:c r="B3" s="12"/>
      <x:c r="C3" s="12"/>
      <x:c r="D3" s="12"/>
      <x:c r="E3" s="12"/>
      <x:c r="F3" s="12"/>
      <x:c r="G3" s="12"/>
      <x:c r="H3" s="12"/>
      <x:c r="I3" s="12"/>
      <x:c r="J3" s="12"/>
    </x:row>
    <x:row r="5">
      <x:c r="A5" s="19" t="str">
        <x:v>المشروع</x:v>
      </x:c>
      <x:c r="B5" s="19" t="str">
        <x:v>القرار</x:v>
      </x:c>
      <x:c r="C5" s="19" t="str">
        <x:v>CAPEX دون الأرض</x:v>
      </x:c>
      <x:c r="D5" s="19" t="str">
        <x:v>قيمة الأرض/العقار</x:v>
      </x:c>
      <x:c r="E5" s="19" t="str">
        <x:v>إيراد سنة 1</x:v>
      </x:c>
      <x:c r="F5" s="19" t="str">
        <x:v>كلفة العمالة سنة 1</x:v>
      </x:c>
      <x:c r="G5" s="19" t="str">
        <x:v>OPEX غير العمالة</x:v>
      </x:c>
      <x:c r="H5" s="19" t="str">
        <x:v>EBITDA سنة 1</x:v>
      </x:c>
      <x:c r="I5" s="19" t="str">
        <x:v>IRR دون الأرض</x:v>
      </x:c>
      <x:c r="J5" s="19" t="str">
        <x:v>NPV مع الأرض</x:v>
      </x:c>
    </x:row>
    <x:row r="6">
      <x:c r="A6" s="159" t="str">
        <x:v>كوفي شوب</x:v>
      </x:c>
      <x:c r="B6" s="159" t="str">
        <x:v>موصى به بشروط</x:v>
      </x:c>
      <x:c r="C6" s="87" t="n">
        <x:f>'CS - CAPEX'!B18</x:f>
        <x:v>399000</x:v>
      </x:c>
      <x:c r="D6" s="87" t="n">
        <x:f>'General Assumptions'!B4</x:f>
        <x:v>800000</x:v>
      </x:c>
      <x:c r="E6" s="87" t="n">
        <x:f>'CS - 10Y Model'!B4</x:f>
        <x:v>437675</x:v>
      </x:c>
      <x:c r="F6" s="87" t="n">
        <x:f>'CS - Payroll'!J15</x:f>
        <x:v>165196.2</x:v>
      </x:c>
      <x:c r="G6" s="87" t="n">
        <x:f>'CS - OPEX'!C15</x:f>
        <x:v>114800</x:v>
      </x:c>
      <x:c r="H6" s="87" t="n">
        <x:f>'CS - 10Y Model'!B9</x:f>
        <x:v>21999.54999999999</x:v>
      </x:c>
      <x:c r="I6" s="97" t="n">
        <x:f>'CS - 10Y Model'!B19</x:f>
        <x:v>0.24945762188458753</x:v>
      </x:c>
      <x:c r="J6" s="87" t="n">
        <x:f>'CS - 10Y Model'!C18</x:f>
        <x:v>-495807.0219240144</x:v>
      </x:c>
    </x:row>
    <x:row r="7">
      <x:c r="A7" s="159" t="str">
        <x:v>مدرسة ثانوية خاصة</x:v>
      </x:c>
      <x:c r="B7" s="159" t="str">
        <x:v>غير موصى بها على الدونم بصيغتها الحالية</x:v>
      </x:c>
      <x:c r="C7" s="87" t="n">
        <x:f>'School - CAPEX'!B19</x:f>
        <x:v>2880000</x:v>
      </x:c>
      <x:c r="D7" s="87" t="n">
        <x:f>'General Assumptions'!B4</x:f>
        <x:v>800000</x:v>
      </x:c>
      <x:c r="E7" s="87" t="n">
        <x:f>'School - 10Y Model'!B4</x:f>
        <x:v>819350</x:v>
      </x:c>
      <x:c r="F7" s="87" t="n">
        <x:f>'School - Payroll'!J22</x:f>
        <x:v>578940</x:v>
      </x:c>
      <x:c r="G7" s="87" t="n">
        <x:f>'School - OPEX'!C16</x:f>
        <x:v>458000</x:v>
      </x:c>
      <x:c r="H7" s="87" t="n">
        <x:f>'School - 10Y Model'!B9</x:f>
        <x:v>-283138</x:v>
      </x:c>
      <x:c r="I7" s="97" t="n">
        <x:f>'School - 10Y Model'!B19</x:f>
        <x:v>-0.044868062574702244</x:v>
      </x:c>
      <x:c r="J7" s="87" t="n">
        <x:f>'School - 10Y Model'!C18</x:f>
        <x:v>-2518802.6192701575</x:v>
      </x:c>
    </x:row>
    <x:row r="8">
      <x:c r="A8" s="159" t="str">
        <x:v>كوفي هاوس</x:v>
      </x:c>
      <x:c r="B8" s="159" t="str">
        <x:v>يحتاج إعادة تصميم</x:v>
      </x:c>
      <x:c r="C8" s="87" t="n">
        <x:f>'CH - CAPEX'!B18</x:f>
        <x:v>735000</x:v>
      </x:c>
      <x:c r="D8" s="87" t="n">
        <x:f>'General Assumptions'!B4</x:f>
        <x:v>800000</x:v>
      </x:c>
      <x:c r="E8" s="87" t="n">
        <x:f>'CH - 10Y Model'!B4</x:f>
        <x:v>711850</x:v>
      </x:c>
      <x:c r="F8" s="87" t="n">
        <x:f>'CH - Payroll'!J20</x:f>
        <x:v>337817.25</x:v>
      </x:c>
      <x:c r="G8" s="87" t="n">
        <x:f>'CH - OPEX'!C16</x:f>
        <x:v>201000</x:v>
      </x:c>
      <x:c r="H8" s="87" t="n">
        <x:f>'CH - 10Y Model'!B9</x:f>
        <x:v>-76114.75</x:v>
      </x:c>
      <x:c r="I8" s="97" t="n">
        <x:f>'CH - 10Y Model'!B19</x:f>
        <x:v>-0.06124817179423715</x:v>
      </x:c>
      <x:c r="J8" s="87" t="n">
        <x:f>'CH - 10Y Model'!C18</x:f>
        <x:v>-1245995.251316934</x:v>
      </x:c>
    </x:row>
    <x:row r="9">
      <x:c r="A9" s="159" t="str">
        <x:v>تأجير فساتين زفاف</x:v>
      </x:c>
      <x:c r="B9" s="159" t="str">
        <x:v>قيد التحقق - واعد تشغيليًا</x:v>
      </x:c>
      <x:c r="C9" s="24" t="n">
        <x:f>'Dress - CAPEX'!B18</x:f>
        <x:v>130000</x:v>
      </x:c>
      <x:c r="D9" s="24" t="n">
        <x:f>'Dress - CAPEX'!B19</x:f>
        <x:v>370000</x:v>
      </x:c>
      <x:c r="E9" s="24" t="n">
        <x:f>'Dress - 10Y Model'!B4</x:f>
        <x:v>148800</x:v>
      </x:c>
      <x:c r="F9" s="24" t="n">
        <x:f>'Dress - Payroll'!J15</x:f>
        <x:v>35208</x:v>
      </x:c>
      <x:c r="G9" s="24" t="n">
        <x:f>'Dress - OPEX'!C15</x:f>
        <x:v>42900</x:v>
      </x:c>
      <x:c r="H9" s="24" t="n">
        <x:f>'Dress - 10Y Model'!B9</x:f>
        <x:v>43908</x:v>
      </x:c>
      <x:c r="I9" s="26" t="n">
        <x:f>'Dress - 10Y Model'!B19</x:f>
        <x:v>0.5146404401666953</x:v>
      </x:c>
      <x:c r="J9" s="24" t="n">
        <x:f>'Dress - 10Y Model'!C18</x:f>
        <x:v>-16253.653900094825</x:v>
      </x:c>
    </x:row>
    <x:row r="11">
      <x:c r="A11" s="29" t="str">
        <x:v>قرار المستثمر</x:v>
      </x:c>
      <x:c r="B11" s="29"/>
      <x:c r="C11" s="29"/>
      <x:c r="D11" s="29"/>
      <x:c r="E11" s="29"/>
      <x:c r="F11" s="29"/>
      <x:c r="G11" s="29"/>
      <x:c r="H11" s="29"/>
      <x:c r="I11" s="29"/>
      <x:c r="J11" s="29"/>
    </x:row>
    <x:row r="12">
      <x:c r="A12" s="162" t="str">
        <x:v>الكوفي شوب يبقى البديل التشغيلي الأول على أرض الرابية. مشروع تأجير الفساتين يحتل المرتبة الثانية تحليليًا، ويتميز بأقل استثمار تشغيلي (130 ألف JOD دون العقار) وبأصل عقاري قائم قيمته الضمنية 370 ألف JOD، لكنه لا يعتمد قبل اختبار الطلب الفعلي، وتأكيد الترخيص التجاري والمواقف، وتثبيت متوسط سعر التأجير ودوران المخزون. المدرسة والكوفي هاوس يبقيان بحاجة إلى إعادة نظر جوهرية.</x:v>
      </x:c>
      <x:c r="B12" s="162"/>
      <x:c r="C12" s="162"/>
      <x:c r="D12" s="162"/>
      <x:c r="E12" s="162"/>
      <x:c r="F12" s="162"/>
      <x:c r="G12" s="162"/>
      <x:c r="H12" s="162"/>
      <x:c r="I12" s="162"/>
      <x:c r="J12" s="162"/>
    </x:row>
    <x:row r="13">
      <x:c r="A13" s="162"/>
      <x:c r="B13" s="162"/>
      <x:c r="C13" s="162"/>
      <x:c r="D13" s="162"/>
      <x:c r="E13" s="162"/>
      <x:c r="F13" s="162"/>
      <x:c r="G13" s="162"/>
      <x:c r="H13" s="162"/>
      <x:c r="I13" s="162"/>
      <x:c r="J13" s="162"/>
    </x:row>
    <x:row r="14">
      <x:c r="A14" s="162"/>
      <x:c r="B14" s="162"/>
      <x:c r="C14" s="162"/>
      <x:c r="D14" s="162"/>
      <x:c r="E14" s="162"/>
      <x:c r="F14" s="162"/>
      <x:c r="G14" s="162"/>
      <x:c r="H14" s="162"/>
      <x:c r="I14" s="162"/>
      <x:c r="J14" s="162"/>
    </x:row>
    <x:row r="15">
      <x:c r="A15" s="162"/>
      <x:c r="B15" s="162"/>
      <x:c r="C15" s="162"/>
      <x:c r="D15" s="162"/>
      <x:c r="E15" s="162"/>
      <x:c r="F15" s="162"/>
      <x:c r="G15" s="162"/>
      <x:c r="H15" s="162"/>
      <x:c r="I15" s="162"/>
      <x:c r="J15" s="162"/>
    </x:row>
    <x:row r="16">
      <x:c r="A16" s="162"/>
      <x:c r="B16" s="162"/>
      <x:c r="C16" s="162"/>
      <x:c r="D16" s="162"/>
      <x:c r="E16" s="162"/>
      <x:c r="F16" s="162"/>
      <x:c r="G16" s="162"/>
      <x:c r="H16" s="162"/>
      <x:c r="I16" s="162"/>
      <x:c r="J16" s="162"/>
    </x:row>
    <x:row r="37">
      <x:c r="A37" s="81" t="str">
        <x:v>النموذج ديناميكي: غيّر فقط الخلايا الصفراء ذات الخط الأزرق. مشروع الفساتين مستقل مكانيًا عن أرض الرابية، وتُعرض نتائجه دون العقار ومع العقار لضمان مقارنة عادلة.</x:v>
      </x:c>
      <x:c r="B37" s="81"/>
      <x:c r="C37" s="81"/>
      <x:c r="D37" s="81"/>
      <x:c r="E37" s="81"/>
      <x:c r="F37" s="81"/>
      <x:c r="G37" s="81"/>
      <x:c r="H37" s="81"/>
      <x:c r="I37" s="81"/>
      <x:c r="J37" s="81"/>
    </x:row>
    <x:row r="38" ht="22" customHeight="1">
      <x:c r="A38" s="103" t="str">
        <x:v>غيّر فقط الخلايا ذات الخلفية الصفراء والخط الأزرق في صفحات الرواتب، CAPEX، OPEX، General Assumptions وDynamic Inputs. جميع الخلايا الأخرى معادلات مترابطة، بما فيها الإيرادات، الرواتب الكاملة، EBITDA، NPV، IRR، DSCR، الرسوم البيانية ولوحة المستثمر.</x:v>
      </x:c>
      <x:c r="B38" s="103"/>
      <x:c r="C38" s="103"/>
      <x:c r="D38" s="103"/>
      <x:c r="E38" s="103"/>
      <x:c r="F38" s="103"/>
      <x:c r="G38" s="103"/>
      <x:c r="H38" s="103"/>
      <x:c r="I38" s="103"/>
      <x:c r="J38" s="103"/>
    </x:row>
    <x:row r="39" ht="22" customHeight="1">
      <x:c r="A39" s="103"/>
      <x:c r="B39" s="103"/>
      <x:c r="C39" s="103"/>
      <x:c r="D39" s="103"/>
      <x:c r="E39" s="103"/>
      <x:c r="F39" s="103"/>
      <x:c r="G39" s="103"/>
      <x:c r="H39" s="103"/>
      <x:c r="I39" s="103"/>
      <x:c r="J39" s="103"/>
    </x:row>
    <x:row r="40" ht="22" customHeight="1">
      <x:c r="A40" s="103"/>
      <x:c r="B40" s="103"/>
      <x:c r="C40" s="103"/>
      <x:c r="D40" s="103"/>
      <x:c r="E40" s="103"/>
      <x:c r="F40" s="103"/>
      <x:c r="G40" s="103"/>
      <x:c r="H40" s="103"/>
      <x:c r="I40" s="103"/>
      <x:c r="J40" s="103"/>
    </x:row>
    <x:row r="41" ht="22" customHeight="1">
      <x:c r="A41" s="103"/>
      <x:c r="B41" s="103"/>
      <x:c r="C41" s="103"/>
      <x:c r="D41" s="103"/>
      <x:c r="E41" s="103"/>
      <x:c r="F41" s="103"/>
      <x:c r="G41" s="103"/>
      <x:c r="H41" s="103"/>
      <x:c r="I41" s="103"/>
      <x:c r="J41" s="103"/>
    </x:row>
  </x:sheetData>
  <x:mergeCells>
    <x:mergeCell ref="A11:J11"/>
    <x:mergeCell ref="A38:J41"/>
    <x:mergeCell ref="A1:J1"/>
    <x:mergeCell ref="A3:J3"/>
    <x:mergeCell ref="A12:J16"/>
    <x:mergeCell ref="A37:J37"/>
  </x:mergeCells>
  <x:conditionalFormatting sqref="A6:J8">
    <x:cfRule type="expression" dxfId="0" priority="1">
      <x:formula>$J6&lt;0</x:formula>
    </x:cfRule>
  </x:conditionalFormatting>
  <x:conditionalFormatting sqref="A6:J9">
    <x:cfRule type="expression" dxfId="4" priority="2">
      <x:formula>$H6&lt;0</x:formula>
    </x:cfRule>
    <x:cfRule type="expression" dxfId="5" priority="3">
      <x:formula>$H6&gt;=0</x:formula>
    </x:cfRule>
  </x:conditionalFormatting>
  <x:pageMargins left="0.7" right="0.7" top="0.75" bottom="0.75" header="0.3" footer="0.3"/>
  <x:drawing xmlns:r="http://schemas.openxmlformats.org/officeDocument/2006/relationships" r:id="Rb169a4469c9b4d9a"/>
</x:worksheet>
</file>

<file path=xl/worksheets/sheet2.xml><?xml version="1.0" encoding="utf-8"?>
<x:worksheet xmlns:x="http://schemas.openxmlformats.org/spreadsheetml/2006/main">
  <x:sheetFormatPr defaultRowHeight="15"/>
  <x:cols>
    <x:col min="1" max="1" width="30" hidden="0" customWidth="1"/>
    <x:col min="2" max="2" width="16" hidden="0" customWidth="1"/>
    <x:col min="3" max="3" width="12" hidden="0" customWidth="1"/>
    <x:col min="4" max="4" width="24" hidden="0" customWidth="1"/>
    <x:col min="5" max="5" width="34" hidden="0" customWidth="1"/>
    <x:col min="6" max="6" width="28" hidden="0" customWidth="1"/>
  </x:cols>
  <x:sheetData>
    <x:row r="1">
      <x:c r="A1" s="29" t="str">
        <x:v>الافتراضات العامة القابلة للتعديل</x:v>
      </x:c>
      <x:c r="B1" s="29"/>
      <x:c r="C1" s="29"/>
      <x:c r="D1" s="29"/>
      <x:c r="E1" s="29"/>
      <x:c r="F1" s="29"/>
    </x:row>
    <x:row r="3">
      <x:c r="A3" s="19" t="str">
        <x:v>الافتراض</x:v>
      </x:c>
      <x:c r="B3" s="19" t="str">
        <x:v>القيمة</x:v>
      </x:c>
      <x:c r="C3" s="19" t="str">
        <x:v>الوحدة</x:v>
      </x:c>
      <x:c r="D3" s="19" t="str">
        <x:v>التصنيف</x:v>
      </x:c>
      <x:c r="E3" s="19" t="str">
        <x:v>ملاحظة</x:v>
      </x:c>
      <x:c r="F3" s="19" t="str">
        <x:v>حالة التحقق</x:v>
      </x:c>
    </x:row>
    <x:row r="4">
      <x:c r="A4" s="46" t="str">
        <x:v>قيمة الأرض الاقتصادية</x:v>
      </x:c>
      <x:c r="B4" s="47" t="n">
        <x:v>800000</x:v>
      </x:c>
      <x:c r="C4" s="46" t="str">
        <x:v>JOD</x:v>
      </x:c>
      <x:c r="D4" s="46" t="str">
        <x:v>افتراض يحتاج تقييمًا</x:v>
      </x:c>
      <x:c r="E4" s="46" t="str">
        <x:v>لا تمثل تكلفة شراء جديدة</x:v>
      </x:c>
      <x:c r="F4" s="46" t="str">
        <x:v>مطلوب تقييمان مستقلان</x:v>
      </x:c>
    </x:row>
    <x:row r="5">
      <x:c r="A5" s="46" t="str">
        <x:v>معدل الخصم</x:v>
      </x:c>
      <x:c r="B5" s="48" t="n">
        <x:v>0.115</x:v>
      </x:c>
      <x:c r="C5" s="46" t="str">
        <x:v>%</x:v>
      </x:c>
      <x:c r="D5" s="46" t="str">
        <x:v>افتراض تحليلي</x:v>
      </x:c>
      <x:c r="E5" s="46" t="str">
        <x:v>يستخدم في NPV</x:v>
      </x:c>
      <x:c r="F5" s="46" t="str">
        <x:v>يحدث بعد عروض التمويل</x:v>
      </x:c>
    </x:row>
    <x:row r="6">
      <x:c r="A6" s="46" t="str">
        <x:v>فائدة التمويل</x:v>
      </x:c>
      <x:c r="B6" s="48" t="n">
        <x:v>0.09</x:v>
      </x:c>
      <x:c r="C6" s="46" t="str">
        <x:v>%</x:v>
      </x:c>
      <x:c r="D6" s="46" t="str">
        <x:v>افتراض تمويلي</x:v>
      </x:c>
      <x:c r="E6" s="46" t="str">
        <x:v>قرض تناقصي</x:v>
      </x:c>
      <x:c r="F6" s="46" t="str">
        <x:v>مطلوب عرضان بنكيان</x:v>
      </x:c>
    </x:row>
    <x:row r="7">
      <x:c r="A7" s="46" t="str">
        <x:v>ضريبة الدخل</x:v>
      </x:c>
      <x:c r="B7" s="48" t="n">
        <x:v>0.2</x:v>
      </x:c>
      <x:c r="C7" s="46" t="str">
        <x:v>%</x:v>
      </x:c>
      <x:c r="D7" s="46" t="str">
        <x:v>افتراض ضريبي</x:v>
      </x:c>
      <x:c r="E7" s="46" t="str">
        <x:v>تتغير حسب الشكل والنشاط</x:v>
      </x:c>
      <x:c r="F7" s="46" t="str">
        <x:v>مطلوب رأي ضريبي</x:v>
      </x:c>
    </x:row>
    <x:row r="8">
      <x:c r="A8" s="46" t="str">
        <x:v>حصة صاحب العمل بالضمان</x:v>
      </x:c>
      <x:c r="B8" s="48" t="n">
        <x:v>0.1425</x:v>
      </x:c>
      <x:c r="C8" s="46" t="str">
        <x:v>%</x:v>
      </x:c>
      <x:c r="D8" s="46" t="str">
        <x:v>حقيقة تنظيمية عامة</x:v>
      </x:c>
      <x:c r="E8" s="46" t="str">
        <x:v>تطبق على الراتب الخاضع</x:v>
      </x:c>
      <x:c r="F8" s="46" t="str">
        <x:v>يُثبت عند التسجيل</x:v>
      </x:c>
    </x:row>
    <x:row r="9">
      <x:c r="A9" s="46" t="str">
        <x:v>نمو الرواتب</x:v>
      </x:c>
      <x:c r="B9" s="48" t="n">
        <x:v>0.04</x:v>
      </x:c>
      <x:c r="C9" s="46" t="str">
        <x:v>%</x:v>
      </x:c>
      <x:c r="D9" s="46" t="str">
        <x:v>افتراض</x:v>
      </x:c>
      <x:c r="E9" s="46" t="str">
        <x:v>سنوي</x:v>
      </x:c>
      <x:c r="F9" s="46" t="str">
        <x:v>اختبار حساسية</x:v>
      </x:c>
    </x:row>
    <x:row r="10">
      <x:c r="A10" s="46" t="str">
        <x:v>تضخم التشغيل</x:v>
      </x:c>
      <x:c r="B10" s="48" t="n">
        <x:v>0.03</x:v>
      </x:c>
      <x:c r="C10" s="46" t="str">
        <x:v>%</x:v>
      </x:c>
      <x:c r="D10" s="46" t="str">
        <x:v>افتراض</x:v>
      </x:c>
      <x:c r="E10" s="46" t="str">
        <x:v>سنوي</x:v>
      </x:c>
      <x:c r="F10" s="46" t="str">
        <x:v>اختبار حساسية</x:v>
      </x:c>
    </x:row>
    <x:row r="12">
      <x:c r="A12" s="69" t="str">
        <x:v>افتراضات إضافية</x:v>
      </x:c>
      <x:c r="B12" s="69" t="str">
        <x:v>القيمة</x:v>
      </x:c>
      <x:c r="C12" s="69" t="str">
        <x:v>الوحدة</x:v>
      </x:c>
      <x:c r="D12" s="69" t="str">
        <x:v>التصنيف</x:v>
      </x:c>
      <x:c r="E12" s="69" t="str">
        <x:v>ملاحظة</x:v>
      </x:c>
      <x:c r="F12" s="69" t="str">
        <x:v>حالة</x:v>
      </x:c>
    </x:row>
    <x:row r="13">
      <x:c r="A13" s="46" t="str">
        <x:v>التأمين والمزايا من الراتب</x:v>
      </x:c>
      <x:c r="B13" s="73" t="n">
        <x:v>0.045</x:v>
      </x:c>
      <x:c r="C13" s="46" t="str">
        <x:v>%</x:v>
      </x:c>
      <x:c r="D13" s="46" t="str">
        <x:v>افتراض تشغيلي</x:v>
      </x:c>
      <x:c r="E13" s="46" t="str">
        <x:v>يطبق على الرواتب</x:v>
      </x:c>
      <x:c r="F13" s="46" t="str">
        <x:v>قابل للتعديل</x:v>
      </x:c>
    </x:row>
    <x:row r="14">
      <x:c r="A14" s="46" t="str">
        <x:v>إضافي/استبدال - تشغيل</x:v>
      </x:c>
      <x:c r="B14" s="73" t="n">
        <x:v>0.035</x:v>
      </x:c>
      <x:c r="C14" s="46" t="str">
        <x:v>%</x:v>
      </x:c>
      <x:c r="D14" s="46" t="str">
        <x:v>افتراض تشغيلي</x:v>
      </x:c>
      <x:c r="E14" s="46" t="str">
        <x:v>وظائف التشغيل والخدمة</x:v>
      </x:c>
      <x:c r="F14" s="46" t="str">
        <x:v>قابل للتعديل</x:v>
      </x:c>
    </x:row>
    <x:row r="15">
      <x:c r="A15" s="46" t="str">
        <x:v>إضافي/استبدال - إداري</x:v>
      </x:c>
      <x:c r="B15" s="73" t="n">
        <x:v>0.015</x:v>
      </x:c>
      <x:c r="C15" s="46" t="str">
        <x:v>%</x:v>
      </x:c>
      <x:c r="D15" s="46" t="str">
        <x:v>افتراض تشغيلي</x:v>
      </x:c>
      <x:c r="E15" s="46" t="str">
        <x:v>وظائف الإدارة والدعم</x:v>
      </x:c>
      <x:c r="F15" s="46" t="str">
        <x:v>قابل للتعديل</x:v>
      </x:c>
    </x:row>
    <x:row r="16">
      <x:c r="A16" s="46" t="str">
        <x:v>نسبة رأس المال العامل - مقاهي</x:v>
      </x:c>
      <x:c r="B16" s="73" t="n">
        <x:v>0.06</x:v>
      </x:c>
      <x:c r="C16" s="46" t="str">
        <x:v>%</x:v>
      </x:c>
      <x:c r="D16" s="46" t="str">
        <x:v>افتراض مالي</x:v>
      </x:c>
      <x:c r="E16" s="46" t="str">
        <x:v>من الإيرادات</x:v>
      </x:c>
      <x:c r="F16" s="46" t="str">
        <x:v>قابل للتعديل</x:v>
      </x:c>
    </x:row>
    <x:row r="17">
      <x:c r="A17" s="46" t="str">
        <x:v>نسبة رأس المال العامل - مدرسة</x:v>
      </x:c>
      <x:c r="B17" s="73" t="n">
        <x:v>0.09</x:v>
      </x:c>
      <x:c r="C17" s="46" t="str">
        <x:v>%</x:v>
      </x:c>
      <x:c r="D17" s="46" t="str">
        <x:v>افتراض مالي</x:v>
      </x:c>
      <x:c r="E17" s="46" t="str">
        <x:v>من الإيرادات</x:v>
      </x:c>
      <x:c r="F17" s="46" t="str">
        <x:v>قابل للتعديل</x:v>
      </x:c>
    </x:row>
    <x:row r="18">
      <x:c r="A18" s="46" t="str">
        <x:v>صيانة رأسمالية سنوية</x:v>
      </x:c>
      <x:c r="B18" s="73" t="n">
        <x:v>0.015</x:v>
      </x:c>
      <x:c r="C18" s="46" t="str">
        <x:v>%</x:v>
      </x:c>
      <x:c r="D18" s="46" t="str">
        <x:v>افتراض مالي</x:v>
      </x:c>
      <x:c r="E18" s="46" t="str">
        <x:v>من CAPEX دون الأرض</x:v>
      </x:c>
      <x:c r="F18" s="46" t="str">
        <x:v>قابل للتعديل</x:v>
      </x:c>
    </x:row>
    <x:row r="19">
      <x:c r="A19" s="46" t="str">
        <x:v>معدل الاستهلاك السنوي</x:v>
      </x:c>
      <x:c r="B19" s="73" t="n">
        <x:v>0.075</x:v>
      </x:c>
      <x:c r="C19" s="46" t="str">
        <x:v>%</x:v>
      </x:c>
      <x:c r="D19" s="46" t="str">
        <x:v>افتراض محاسبي</x:v>
      </x:c>
      <x:c r="E19" s="46" t="str">
        <x:v>من CAPEX دون الأرض</x:v>
      </x:c>
      <x:c r="F19" s="46" t="str">
        <x:v>قابل للتعديل</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18" hidden="0" customWidth="1"/>
    <x:col min="5" max="5" width="18" hidden="0" customWidth="1"/>
    <x:col min="6" max="6" width="17" hidden="0" customWidth="1"/>
    <x:col min="7" max="7" width="17" hidden="0" customWidth="1"/>
    <x:col min="8" max="8" width="16" hidden="0" customWidth="1"/>
    <x:col min="9" max="9" width="17" hidden="0" customWidth="1"/>
    <x:col min="10" max="10" width="20" hidden="0" customWidth="1"/>
  </x:cols>
  <x:sheetData>
    <x:row r="1">
      <x:c r="A1" s="29" t="str">
        <x:v>هيكل الموظفين وتكلفة العمالة - كوفي شوب</x:v>
      </x:c>
      <x:c r="B1" s="29"/>
      <x:c r="C1" s="29"/>
      <x:c r="D1" s="29"/>
      <x:c r="E1" s="29"/>
      <x:c r="F1" s="29"/>
      <x:c r="G1" s="29"/>
      <x:c r="H1" s="29"/>
      <x:c r="I1" s="29"/>
      <x:c r="J1" s="29"/>
    </x:row>
    <x:row r="3">
      <x:c r="A3" s="19" t="str">
        <x:v>القسم</x:v>
      </x:c>
      <x:c r="B3" s="19" t="str">
        <x:v>المسمى الوظيفي</x:v>
      </x:c>
      <x:c r="C3" s="19" t="str">
        <x:v>العدد</x:v>
      </x:c>
      <x:c r="D3" s="19" t="str">
        <x:v>الراتب الشهري للفرد</x:v>
      </x:c>
      <x:c r="E3" s="19" t="str">
        <x:v>الراتب الشهري الإجمالي</x:v>
      </x:c>
      <x:c r="F3" s="19" t="str">
        <x:v>الراتب السنوي</x:v>
      </x:c>
      <x:c r="G3" s="19" t="str">
        <x:v>ضمان صاحب العمل</x:v>
      </x:c>
      <x:c r="H3" s="19" t="str">
        <x:v>تأمين/مزايا</x:v>
      </x:c>
      <x:c r="I3" s="19" t="str">
        <x:v>إضافي واستبدال</x:v>
      </x:c>
      <x:c r="J3" s="19" t="str">
        <x:v>الكلفة السنوية الكاملة</x:v>
      </x:c>
    </x:row>
    <x:row r="4">
      <x:c r="A4" t="str">
        <x:v>الإدارة</x:v>
      </x:c>
      <x:c r="B4" t="str">
        <x:v>مدير فرع</x:v>
      </x:c>
      <x:c r="C4" s="71" t="n">
        <x:v>1</x:v>
      </x:c>
      <x:c r="D4" s="82" t="n">
        <x:v>1400</x:v>
      </x:c>
      <x:c r="E4" s="84" t="n">
        <x:f>C4*D4</x:f>
        <x:v>1400</x:v>
      </x:c>
      <x:c r="F4" s="84" t="n">
        <x:f>E4*12</x:f>
        <x:v>16800</x:v>
      </x:c>
      <x:c r="G4" s="84" t="n">
        <x:f>F4*'General Assumptions'!$B$8</x:f>
        <x:v>2394</x:v>
      </x:c>
      <x:c r="H4" s="84" t="n">
        <x:f>F4*'General Assumptions'!$B$13</x:f>
        <x:v>756</x:v>
      </x:c>
      <x:c r="I4" s="84" t="n">
        <x:f>F4*IF(OR(A4="التشغيل",A4="المطبخ",A4="الخدمة",A4="خدمات",A4="نقل"),'General Assumptions'!$B$14,'General Assumptions'!$B$15)</x:f>
        <x:v>252</x:v>
      </x:c>
      <x:c r="J4" s="84" t="n">
        <x:f>SUM(F4:I4)</x:f>
        <x:v>20202</x:v>
      </x:c>
    </x:row>
    <x:row r="5">
      <x:c r="A5" t="str">
        <x:v>الإدارة</x:v>
      </x:c>
      <x:c r="B5" t="str">
        <x:v>مشرف وردية</x:v>
      </x:c>
      <x:c r="C5" s="71" t="n">
        <x:v>2</x:v>
      </x:c>
      <x:c r="D5" s="82" t="n">
        <x:v>750</x:v>
      </x:c>
      <x:c r="E5" s="84" t="n">
        <x:f>C5*D5</x:f>
        <x:v>1500</x:v>
      </x:c>
      <x:c r="F5" s="84" t="n">
        <x:f>E5*12</x:f>
        <x:v>18000</x:v>
      </x:c>
      <x:c r="G5" s="84" t="n">
        <x:f>F5*'General Assumptions'!$B$8</x:f>
        <x:v>2565</x:v>
      </x:c>
      <x:c r="H5" s="84" t="n">
        <x:f>F5*'General Assumptions'!$B$13</x:f>
        <x:v>810</x:v>
      </x:c>
      <x:c r="I5" s="84" t="n">
        <x:f>F5*IF(OR(A5="التشغيل",A5="المطبخ",A5="الخدمة",A5="خدمات",A5="نقل"),'General Assumptions'!$B$14,'General Assumptions'!$B$15)</x:f>
        <x:v>270</x:v>
      </x:c>
      <x:c r="J5" s="84" t="n">
        <x:f>SUM(F5:I5)</x:f>
        <x:v>21645</x:v>
      </x:c>
    </x:row>
    <x:row r="6">
      <x:c r="A6" t="str">
        <x:v>التشغيل</x:v>
      </x:c>
      <x:c r="B6" t="str">
        <x:v>رئيس باريستا</x:v>
      </x:c>
      <x:c r="C6" s="71" t="n">
        <x:v>1</x:v>
      </x:c>
      <x:c r="D6" s="82" t="n">
        <x:v>600</x:v>
      </x:c>
      <x:c r="E6" s="84" t="n">
        <x:f>C6*D6</x:f>
        <x:v>600</x:v>
      </x:c>
      <x:c r="F6" s="84" t="n">
        <x:f>E6*12</x:f>
        <x:v>7200</x:v>
      </x:c>
      <x:c r="G6" s="84" t="n">
        <x:f>F6*'General Assumptions'!$B$8</x:f>
        <x:v>1026</x:v>
      </x:c>
      <x:c r="H6" s="84" t="n">
        <x:f>F6*'General Assumptions'!$B$13</x:f>
        <x:v>324</x:v>
      </x:c>
      <x:c r="I6" s="84" t="n">
        <x:f>F6*IF(OR(A6="التشغيل",A6="المطبخ",A6="الخدمة",A6="خدمات",A6="نقل"),'General Assumptions'!$B$14,'General Assumptions'!$B$15)</x:f>
        <x:v>252.00000000000003</x:v>
      </x:c>
      <x:c r="J6" s="84" t="n">
        <x:f>SUM(F6:I6)</x:f>
        <x:v>8802</x:v>
      </x:c>
    </x:row>
    <x:row r="7">
      <x:c r="A7" t="str">
        <x:v>التشغيل</x:v>
      </x:c>
      <x:c r="B7" t="str">
        <x:v>باريستا</x:v>
      </x:c>
      <x:c r="C7" s="71" t="n">
        <x:v>6</x:v>
      </x:c>
      <x:c r="D7" s="82" t="n">
        <x:v>400</x:v>
      </x:c>
      <x:c r="E7" s="84" t="n">
        <x:f>C7*D7</x:f>
        <x:v>2400</x:v>
      </x:c>
      <x:c r="F7" s="84" t="n">
        <x:f>E7*12</x:f>
        <x:v>28800</x:v>
      </x:c>
      <x:c r="G7" s="84" t="n">
        <x:f>F7*'General Assumptions'!$B$8</x:f>
        <x:v>4104</x:v>
      </x:c>
      <x:c r="H7" s="84" t="n">
        <x:f>F7*'General Assumptions'!$B$13</x:f>
        <x:v>1296</x:v>
      </x:c>
      <x:c r="I7" s="84" t="n">
        <x:f>F7*IF(OR(A7="التشغيل",A7="المطبخ",A7="الخدمة",A7="خدمات",A7="نقل"),'General Assumptions'!$B$14,'General Assumptions'!$B$15)</x:f>
        <x:v>1008.0000000000001</x:v>
      </x:c>
      <x:c r="J7" s="84" t="n">
        <x:f>SUM(F7:I7)</x:f>
        <x:v>35208</x:v>
      </x:c>
    </x:row>
    <x:row r="8">
      <x:c r="A8" t="str">
        <x:v>التشغيل</x:v>
      </x:c>
      <x:c r="B8" t="str">
        <x:v>كاشير</x:v>
      </x:c>
      <x:c r="C8" s="71" t="n">
        <x:v>2</x:v>
      </x:c>
      <x:c r="D8" s="82" t="n">
        <x:v>375</x:v>
      </x:c>
      <x:c r="E8" s="84" t="n">
        <x:f>C8*D8</x:f>
        <x:v>750</x:v>
      </x:c>
      <x:c r="F8" s="84" t="n">
        <x:f>E8*12</x:f>
        <x:v>9000</x:v>
      </x:c>
      <x:c r="G8" s="84" t="n">
        <x:f>F8*'General Assumptions'!$B$8</x:f>
        <x:v>1282.5</x:v>
      </x:c>
      <x:c r="H8" s="84" t="n">
        <x:f>F8*'General Assumptions'!$B$13</x:f>
        <x:v>405</x:v>
      </x:c>
      <x:c r="I8" s="84" t="n">
        <x:f>F8*IF(OR(A8="التشغيل",A8="المطبخ",A8="الخدمة",A8="خدمات",A8="نقل"),'General Assumptions'!$B$14,'General Assumptions'!$B$15)</x:f>
        <x:v>315.00000000000006</x:v>
      </x:c>
      <x:c r="J8" s="84" t="n">
        <x:f>SUM(F8:I8)</x:f>
        <x:v>11002.5</x:v>
      </x:c>
    </x:row>
    <x:row r="9">
      <x:c r="A9" t="str">
        <x:v>المطبخ</x:v>
      </x:c>
      <x:c r="B9" t="str">
        <x:v>عامل مطبخ وتحضير</x:v>
      </x:c>
      <x:c r="C9" s="71" t="n">
        <x:v>3</x:v>
      </x:c>
      <x:c r="D9" s="82" t="n">
        <x:v>450</x:v>
      </x:c>
      <x:c r="E9" s="84" t="n">
        <x:f>C9*D9</x:f>
        <x:v>1350</x:v>
      </x:c>
      <x:c r="F9" s="84" t="n">
        <x:f>E9*12</x:f>
        <x:v>16200</x:v>
      </x:c>
      <x:c r="G9" s="84" t="n">
        <x:f>F9*'General Assumptions'!$B$8</x:f>
        <x:v>2308.5</x:v>
      </x:c>
      <x:c r="H9" s="84" t="n">
        <x:f>F9*'General Assumptions'!$B$13</x:f>
        <x:v>729</x:v>
      </x:c>
      <x:c r="I9" s="84" t="n">
        <x:f>F9*IF(OR(A9="التشغيل",A9="المطبخ",A9="الخدمة",A9="خدمات",A9="نقل"),'General Assumptions'!$B$14,'General Assumptions'!$B$15)</x:f>
        <x:v>567</x:v>
      </x:c>
      <x:c r="J9" s="84" t="n">
        <x:f>SUM(F9:I9)</x:f>
        <x:v>19804.5</x:v>
      </x:c>
    </x:row>
    <x:row r="10">
      <x:c r="A10" t="str">
        <x:v>الخدمة</x:v>
      </x:c>
      <x:c r="B10" t="str">
        <x:v>مقدم خدمة</x:v>
      </x:c>
      <x:c r="C10" s="71" t="n">
        <x:v>4</x:v>
      </x:c>
      <x:c r="D10" s="82" t="n">
        <x:v>350</x:v>
      </x:c>
      <x:c r="E10" s="84" t="n">
        <x:f>C10*D10</x:f>
        <x:v>1400</x:v>
      </x:c>
      <x:c r="F10" s="84" t="n">
        <x:f>E10*12</x:f>
        <x:v>16800</x:v>
      </x:c>
      <x:c r="G10" s="84" t="n">
        <x:f>F10*'General Assumptions'!$B$8</x:f>
        <x:v>2394</x:v>
      </x:c>
      <x:c r="H10" s="84" t="n">
        <x:f>F10*'General Assumptions'!$B$13</x:f>
        <x:v>756</x:v>
      </x:c>
      <x:c r="I10" s="84" t="n">
        <x:f>F10*IF(OR(A10="التشغيل",A10="المطبخ",A10="الخدمة",A10="خدمات",A10="نقل"),'General Assumptions'!$B$14,'General Assumptions'!$B$15)</x:f>
        <x:v>588</x:v>
      </x:c>
      <x:c r="J10" s="84" t="n">
        <x:f>SUM(F10:I10)</x:f>
        <x:v>20538</x:v>
      </x:c>
    </x:row>
    <x:row r="11">
      <x:c r="A11" t="str">
        <x:v>الدعم</x:v>
      </x:c>
      <x:c r="B11" t="str">
        <x:v>مسؤول مخزون ومشتريات</x:v>
      </x:c>
      <x:c r="C11" s="71" t="n">
        <x:v>1</x:v>
      </x:c>
      <x:c r="D11" s="82" t="n">
        <x:v>500</x:v>
      </x:c>
      <x:c r="E11" s="84" t="n">
        <x:f>C11*D11</x:f>
        <x:v>500</x:v>
      </x:c>
      <x:c r="F11" s="84" t="n">
        <x:f>E11*12</x:f>
        <x:v>6000</x:v>
      </x:c>
      <x:c r="G11" s="84" t="n">
        <x:f>F11*'General Assumptions'!$B$8</x:f>
        <x:v>854.9999999999999</x:v>
      </x:c>
      <x:c r="H11" s="84" t="n">
        <x:f>F11*'General Assumptions'!$B$13</x:f>
        <x:v>270</x:v>
      </x:c>
      <x:c r="I11" s="84" t="n">
        <x:f>F11*IF(OR(A11="التشغيل",A11="المطبخ",A11="الخدمة",A11="خدمات",A11="نقل"),'General Assumptions'!$B$14,'General Assumptions'!$B$15)</x:f>
        <x:v>90</x:v>
      </x:c>
      <x:c r="J11" s="84" t="n">
        <x:f>SUM(F11:I11)</x:f>
        <x:v>7215</x:v>
      </x:c>
    </x:row>
    <x:row r="12">
      <x:c r="A12" t="str">
        <x:v>الدعم</x:v>
      </x:c>
      <x:c r="B12" t="str">
        <x:v>عامل نظافة</x:v>
      </x:c>
      <x:c r="C12" s="71" t="n">
        <x:v>2</x:v>
      </x:c>
      <x:c r="D12" s="82" t="n">
        <x:v>320</x:v>
      </x:c>
      <x:c r="E12" s="84" t="n">
        <x:f>C12*D12</x:f>
        <x:v>640</x:v>
      </x:c>
      <x:c r="F12" s="84" t="n">
        <x:f>E12*12</x:f>
        <x:v>7680</x:v>
      </x:c>
      <x:c r="G12" s="84" t="n">
        <x:f>F12*'General Assumptions'!$B$8</x:f>
        <x:v>1094.3999999999999</x:v>
      </x:c>
      <x:c r="H12" s="84" t="n">
        <x:f>F12*'General Assumptions'!$B$13</x:f>
        <x:v>345.59999999999997</x:v>
      </x:c>
      <x:c r="I12" s="84" t="n">
        <x:f>F12*IF(OR(A12="التشغيل",A12="المطبخ",A12="الخدمة",A12="خدمات",A12="نقل"),'General Assumptions'!$B$14,'General Assumptions'!$B$15)</x:f>
        <x:v>115.19999999999999</x:v>
      </x:c>
      <x:c r="J12" s="84" t="n">
        <x:f>SUM(F12:I12)</x:f>
        <x:v>9235.2</x:v>
      </x:c>
    </x:row>
    <x:row r="13">
      <x:c r="A13" t="str">
        <x:v>الدعم</x:v>
      </x:c>
      <x:c r="B13" t="str">
        <x:v>محاسب جزئي</x:v>
      </x:c>
      <x:c r="C13" s="71" t="n">
        <x:v>1</x:v>
      </x:c>
      <x:c r="D13" s="82" t="n">
        <x:v>350</x:v>
      </x:c>
      <x:c r="E13" s="84" t="n">
        <x:f>C13*D13</x:f>
        <x:v>350</x:v>
      </x:c>
      <x:c r="F13" s="84" t="n">
        <x:f>E13*12</x:f>
        <x:v>4200</x:v>
      </x:c>
      <x:c r="G13" s="84" t="n">
        <x:f>F13*'General Assumptions'!$B$8</x:f>
        <x:v>598.5</x:v>
      </x:c>
      <x:c r="H13" s="84" t="n">
        <x:f>F13*'General Assumptions'!$B$13</x:f>
        <x:v>189</x:v>
      </x:c>
      <x:c r="I13" s="84" t="n">
        <x:f>F13*IF(OR(A13="التشغيل",A13="المطبخ",A13="الخدمة",A13="خدمات",A13="نقل"),'General Assumptions'!$B$14,'General Assumptions'!$B$15)</x:f>
        <x:v>63</x:v>
      </x:c>
      <x:c r="J13" s="84" t="n">
        <x:f>SUM(F13:I13)</x:f>
        <x:v>5050.5</x:v>
      </x:c>
    </x:row>
    <x:row r="14">
      <x:c r="A14" t="str">
        <x:v>التسويق</x:v>
      </x:c>
      <x:c r="B14" t="str">
        <x:v>مسؤول تسويق جزئي</x:v>
      </x:c>
      <x:c r="C14" s="71" t="n">
        <x:v>1</x:v>
      </x:c>
      <x:c r="D14" s="82" t="n">
        <x:v>450</x:v>
      </x:c>
      <x:c r="E14" s="84" t="n">
        <x:f>C14*D14</x:f>
        <x:v>450</x:v>
      </x:c>
      <x:c r="F14" s="84" t="n">
        <x:f>E14*12</x:f>
        <x:v>5400</x:v>
      </x:c>
      <x:c r="G14" s="84" t="n">
        <x:f>F14*'General Assumptions'!$B$8</x:f>
        <x:v>769.4999999999999</x:v>
      </x:c>
      <x:c r="H14" s="84" t="n">
        <x:f>F14*'General Assumptions'!$B$13</x:f>
        <x:v>243</x:v>
      </x:c>
      <x:c r="I14" s="84" t="n">
        <x:f>F14*IF(OR(A14="التشغيل",A14="المطبخ",A14="الخدمة",A14="خدمات",A14="نقل"),'General Assumptions'!$B$14,'General Assumptions'!$B$15)</x:f>
        <x:v>81</x:v>
      </x:c>
      <x:c r="J14" s="84" t="n">
        <x:f>SUM(F14:I14)</x:f>
        <x:v>6493.5</x:v>
      </x:c>
    </x:row>
    <x:row r="15">
      <x:c r="A15" s="52" t="str">
        <x:v>إجمالي تكلفة العمالة السنوية</x:v>
      </x:c>
      <x:c r="B15" s="52"/>
      <x:c r="C15" s="52"/>
      <x:c r="D15" s="52"/>
      <x:c r="E15" s="52"/>
      <x:c r="F15" s="52"/>
      <x:c r="G15" s="52"/>
      <x:c r="H15" s="52"/>
      <x:c r="I15" s="52"/>
      <x:c r="J15" s="85" t="n">
        <x:f>SUM(J4:J14)</x:f>
        <x:v>165196.2</x:v>
      </x:c>
    </x:row>
    <x:row r="17">
      <x:c r="A17" s="57" t="str">
        <x:v>ملاحظة: الكلفة الكاملة تشمل الراتب الأساسي، حصة صاحب العمل في الضمان، مخصص التأمين والمزايا، والعمل الإضافي أو الاستبدال. لا تشمل الإكراميات أو عمولات اختيارية غير مضمونة.</x:v>
      </x:c>
      <x:c r="B17" s="57"/>
      <x:c r="C17" s="57"/>
      <x:c r="D17" s="57"/>
      <x:c r="E17" s="57"/>
      <x:c r="F17" s="57"/>
      <x:c r="G17" s="57"/>
      <x:c r="H17" s="57"/>
      <x:c r="I17" s="57"/>
      <x:c r="J17" s="57"/>
    </x:row>
    <x:row r="18">
      <x:c r="A18" s="57"/>
      <x:c r="B18" s="57"/>
      <x:c r="C18" s="57"/>
      <x:c r="D18" s="57"/>
      <x:c r="E18" s="57"/>
      <x:c r="F18" s="57"/>
      <x:c r="G18" s="57"/>
      <x:c r="H18" s="57"/>
      <x:c r="I18" s="57"/>
      <x:c r="J18" s="57"/>
    </x:row>
    <x:row r="19">
      <x:c r="A19" s="57"/>
      <x:c r="B19" s="57"/>
      <x:c r="C19" s="57"/>
      <x:c r="D19" s="57"/>
      <x:c r="E19" s="57"/>
      <x:c r="F19" s="57"/>
      <x:c r="G19" s="57"/>
      <x:c r="H19" s="57"/>
      <x:c r="I19" s="57"/>
      <x:c r="J19" s="57"/>
    </x:row>
  </x:sheetData>
  <x:mergeCells>
    <x:mergeCell ref="A1:J1"/>
    <x:mergeCell ref="A15:I15"/>
    <x:mergeCell ref="A17:J19"/>
  </x:mergeCells>
  <x:dataValidations count="2">
    <x:dataValidation operator="between" sqref="C4:C14">
      <x:formula1>0</x:formula1>
      <x:formula2>200</x:formula2>
    </x:dataValidation>
    <x:dataValidation type="decimal" operator="between" sqref="D4:D14">
      <x:formula1>0</x:formula1>
      <x:formula2>10000</x:formula2>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38" hidden="0" customWidth="1"/>
    <x:col min="2" max="2" width="18" hidden="0" customWidth="1"/>
    <x:col min="3" max="3" width="16" hidden="0" customWidth="1"/>
    <x:col min="4" max="4" width="20" hidden="0" customWidth="1"/>
    <x:col min="5" max="5" width="38" hidden="0" customWidth="1"/>
  </x:cols>
  <x:sheetData>
    <x:row r="1">
      <x:c r="A1" s="29" t="str">
        <x:v>الاستثمار الأولي - كوفي شوب</x:v>
      </x:c>
      <x:c r="B1" s="29"/>
      <x:c r="C1" s="29"/>
      <x:c r="D1" s="29"/>
      <x:c r="E1" s="29"/>
    </x:row>
    <x:row r="3">
      <x:c r="A3" s="19" t="str">
        <x:v>البند</x:v>
      </x:c>
      <x:c r="B3" s="19" t="str">
        <x:v>القيمة JOD</x:v>
      </x:c>
      <x:c r="C3" s="19" t="str">
        <x:v>% من الإجمالي</x:v>
      </x:c>
      <x:c r="D3" s="19" t="str">
        <x:v>طبيعة البند</x:v>
      </x:c>
      <x:c r="E3" s="19" t="str">
        <x:v>قرار/ملاحظة</x:v>
      </x:c>
    </x:row>
    <x:row r="4">
      <x:c r="A4" t="str">
        <x:v>دراسات وتصميم وإدارة مشروع</x:v>
      </x:c>
      <x:c r="B4" s="82" t="n">
        <x:v>26000</x:v>
      </x:c>
      <x:c r="C4" s="86" t="n">
        <x:f>IFERROR(B4/$B$18,0)</x:f>
        <x:v>0.06516290726817042</x:v>
      </x:c>
      <x:c r="D4" t="str">
        <x:v>استثماري</x:v>
      </x:c>
      <x:c r="E4" t="str"/>
    </x:row>
    <x:row r="5">
      <x:c r="A5" t="str">
        <x:v>أعمال إنشائية ومدنية</x:v>
      </x:c>
      <x:c r="B5" s="82" t="n">
        <x:v>105000</x:v>
      </x:c>
      <x:c r="C5" s="86" t="n">
        <x:f>IFERROR(B5/$B$18,0)</x:f>
        <x:v>0.2631578947368421</x:v>
      </x:c>
      <x:c r="D5" t="str">
        <x:v>استثماري</x:v>
      </x:c>
      <x:c r="E5" t="str"/>
    </x:row>
    <x:row r="6">
      <x:c r="A6" t="str">
        <x:v>تشطيبات وديكور داخلي</x:v>
      </x:c>
      <x:c r="B6" s="82" t="n">
        <x:v>82000</x:v>
      </x:c>
      <x:c r="C6" s="86" t="n">
        <x:f>IFERROR(B6/$B$18,0)</x:f>
        <x:v>0.20551378446115287</x:v>
      </x:c>
      <x:c r="D6" t="str">
        <x:v>استثماري</x:v>
      </x:c>
      <x:c r="E6" t="str"/>
    </x:row>
    <x:row r="7">
      <x:c r="A7" t="str">
        <x:v>معدات قهوة ومشروبات</x:v>
      </x:c>
      <x:c r="B7" s="82" t="n">
        <x:v>42000</x:v>
      </x:c>
      <x:c r="C7" s="86" t="n">
        <x:f>IFERROR(B7/$B$18,0)</x:f>
        <x:v>0.10526315789473684</x:v>
      </x:c>
      <x:c r="D7" t="str">
        <x:v>استثماري</x:v>
      </x:c>
      <x:c r="E7" t="str"/>
    </x:row>
    <x:row r="8">
      <x:c r="A8" t="str">
        <x:v>مطبخ خفيف وتبريد</x:v>
      </x:c>
      <x:c r="B8" s="82" t="n">
        <x:v>24000</x:v>
      </x:c>
      <x:c r="C8" s="86" t="n">
        <x:f>IFERROR(B8/$B$18,0)</x:f>
        <x:v>0.06015037593984962</x:v>
      </x:c>
      <x:c r="D8" t="str">
        <x:v>استثماري</x:v>
      </x:c>
      <x:c r="E8" t="str"/>
    </x:row>
    <x:row r="9">
      <x:c r="A9" t="str">
        <x:v>أثاث داخلي وخارجي</x:v>
      </x:c>
      <x:c r="B9" s="82" t="n">
        <x:v>25000</x:v>
      </x:c>
      <x:c r="C9" s="86" t="n">
        <x:f>IFERROR(B9/$B$18,0)</x:f>
        <x:v>0.06265664160401002</x:v>
      </x:c>
      <x:c r="D9" t="str">
        <x:v>استثماري</x:v>
      </x:c>
      <x:c r="E9" t="str"/>
    </x:row>
    <x:row r="10">
      <x:c r="A10" t="str">
        <x:v>تكييف وتهوية</x:v>
      </x:c>
      <x:c r="B10" s="82" t="n">
        <x:v>18000</x:v>
      </x:c>
      <x:c r="C10" s="86" t="n">
        <x:f>IFERROR(B10/$B$18,0)</x:f>
        <x:v>0.045112781954887216</x:v>
      </x:c>
      <x:c r="D10" t="str">
        <x:v>استثماري</x:v>
      </x:c>
      <x:c r="E10" t="str"/>
    </x:row>
    <x:row r="11">
      <x:c r="A11" t="str">
        <x:v>كهرباء وسباكة وسلامة</x:v>
      </x:c>
      <x:c r="B11" s="82" t="n">
        <x:v>13000</x:v>
      </x:c>
      <x:c r="C11" s="86" t="n">
        <x:f>IFERROR(B11/$B$18,0)</x:f>
        <x:v>0.03258145363408521</x:v>
      </x:c>
      <x:c r="D11" t="str">
        <x:v>استثماري</x:v>
      </x:c>
      <x:c r="E11" t="str"/>
    </x:row>
    <x:row r="12">
      <x:c r="A12" t="str">
        <x:v>أنظمة POS وكاميرات وشبكة</x:v>
      </x:c>
      <x:c r="B12" s="82" t="n">
        <x:v>7500</x:v>
      </x:c>
      <x:c r="C12" s="86" t="n">
        <x:f>IFERROR(B12/$B$18,0)</x:f>
        <x:v>0.018796992481203006</x:v>
      </x:c>
      <x:c r="D12" t="str">
        <x:v>استثماري</x:v>
      </x:c>
      <x:c r="E12" t="str"/>
    </x:row>
    <x:row r="13">
      <x:c r="A13" t="str">
        <x:v>لوحات وأعمال خارجية</x:v>
      </x:c>
      <x:c r="B13" s="82" t="n">
        <x:v>6500</x:v>
      </x:c>
      <x:c r="C13" s="86" t="n">
        <x:f>IFERROR(B13/$B$18,0)</x:f>
        <x:v>0.016290726817042606</x:v>
      </x:c>
      <x:c r="D13" t="str">
        <x:v>استثماري</x:v>
      </x:c>
      <x:c r="E13" t="str"/>
    </x:row>
    <x:row r="14">
      <x:c r="A14" t="str">
        <x:v>تسويق وتوظيف قبل الافتتاح</x:v>
      </x:c>
      <x:c r="B14" s="82" t="n">
        <x:v>8500</x:v>
      </x:c>
      <x:c r="C14" s="86" t="n">
        <x:f>IFERROR(B14/$B$18,0)</x:f>
        <x:v>0.021303258145363407</x:v>
      </x:c>
      <x:c r="D14" t="str">
        <x:v>استثماري</x:v>
      </x:c>
      <x:c r="E14" t="str"/>
    </x:row>
    <x:row r="15">
      <x:c r="A15" t="str">
        <x:v>مخزون افتتاحي</x:v>
      </x:c>
      <x:c r="B15" s="82" t="n">
        <x:v>5500</x:v>
      </x:c>
      <x:c r="C15" s="86" t="n">
        <x:f>IFERROR(B15/$B$18,0)</x:f>
        <x:v>0.013784461152882205</x:v>
      </x:c>
      <x:c r="D15" t="str">
        <x:v>تشغيلي افتتاحي</x:v>
      </x:c>
      <x:c r="E15" t="str"/>
    </x:row>
    <x:row r="16">
      <x:c r="A16" t="str">
        <x:v>رأس مال عامل افتتاحي</x:v>
      </x:c>
      <x:c r="B16" s="82" t="n">
        <x:v>18000</x:v>
      </x:c>
      <x:c r="C16" s="86" t="n">
        <x:f>IFERROR(B16/$B$18,0)</x:f>
        <x:v>0.045112781954887216</x:v>
      </x:c>
      <x:c r="D16" t="str">
        <x:v>تشغيلي افتتاحي</x:v>
      </x:c>
      <x:c r="E16" t="str"/>
    </x:row>
    <x:row r="17">
      <x:c r="A17" t="str">
        <x:v>احتياطي تجاوز تكاليف</x:v>
      </x:c>
      <x:c r="B17" s="82" t="n">
        <x:v>18000</x:v>
      </x:c>
      <x:c r="C17" s="86" t="n">
        <x:f>IFERROR(B17/$B$18,0)</x:f>
        <x:v>0.045112781954887216</x:v>
      </x:c>
      <x:c r="D17" t="str">
        <x:v>استثماري</x:v>
      </x:c>
      <x:c r="E17" t="str"/>
    </x:row>
    <x:row r="18">
      <x:c r="A18" s="52" t="str">
        <x:v>الإجمالي دون الأرض</x:v>
      </x:c>
      <x:c r="B18" s="54" t="n">
        <x:f>SUM(B4:B17)</x:f>
        <x:v>399000</x:v>
      </x:c>
      <x:c r="C18" s="52"/>
      <x:c r="D18" s="52"/>
      <x:c r="E18" s="52"/>
    </x:row>
    <x:row r="19">
      <x:c r="A19" t="str">
        <x:v>القيمة الاقتصادية للأرض</x:v>
      </x:c>
      <x:c r="B19" s="87" t="n">
        <x:f>'General Assumptions'!$B$4</x:f>
        <x:v>800000</x:v>
      </x:c>
    </x:row>
    <x:row r="20">
      <x:c r="A20" s="16" t="str">
        <x:v>إجمالي رأس المال الاقتصادي</x:v>
      </x:c>
      <x:c r="B20" s="88" t="n">
        <x:f>SUM(B18:B19)</x:f>
        <x:v>1199000</x:v>
      </x:c>
      <x:c r="C20" s="16"/>
      <x:c r="D20" s="16"/>
      <x:c r="E20" s="16"/>
    </x:row>
  </x:sheetData>
  <x:mergeCells>
    <x:mergeCell ref="A1:E1"/>
  </x:mergeCells>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17" hidden="0" customWidth="1"/>
    <x:col min="3" max="3" width="17" hidden="0" customWidth="1"/>
    <x:col min="4" max="4" width="24" hidden="0" customWidth="1"/>
    <x:col min="5" max="5" width="16" hidden="0" customWidth="1"/>
    <x:col min="6" max="6" width="34" hidden="0" customWidth="1"/>
  </x:cols>
  <x:sheetData>
    <x:row r="1">
      <x:c r="A1" s="29" t="str">
        <x:v>المصروفات التشغيلية - كوفي شوب</x:v>
      </x:c>
      <x:c r="B1" s="29"/>
      <x:c r="C1" s="29"/>
      <x:c r="D1" s="29"/>
      <x:c r="E1" s="29"/>
      <x:c r="F1" s="29"/>
    </x:row>
    <x:row r="3">
      <x:c r="A3" s="19" t="str">
        <x:v>البند</x:v>
      </x:c>
      <x:c r="B3" s="19" t="str">
        <x:v>شهري JOD</x:v>
      </x:c>
      <x:c r="C3" s="19" t="str">
        <x:v>سنوي JOD</x:v>
      </x:c>
      <x:c r="D3" s="19" t="str">
        <x:v>محرك التكلفة</x:v>
      </x:c>
      <x:c r="E3" s="19" t="str">
        <x:v>ثابت/متغير</x:v>
      </x:c>
      <x:c r="F3" s="19" t="str">
        <x:v>ملاحظة</x:v>
      </x:c>
    </x:row>
    <x:row r="4">
      <x:c r="A4" t="str">
        <x:v>كهرباء ومياه وغاز</x:v>
      </x:c>
      <x:c r="B4" s="84" t="n">
        <x:f>C4/12</x:f>
        <x:v>2700</x:v>
      </x:c>
      <x:c r="C4" s="82" t="n">
        <x:v>32400</x:v>
      </x:c>
      <x:c r="D4" t="str">
        <x:v>التضخم/الاستخدام</x:v>
      </x:c>
      <x:c r="E4" t="str">
        <x:v>شبه ثابت</x:v>
      </x:c>
      <x:c r="F4" t="str"/>
    </x:row>
    <x:row r="5">
      <x:c r="A5" t="str">
        <x:v>صيانة معدات ومبنى</x:v>
      </x:c>
      <x:c r="B5" s="84" t="n">
        <x:f>C5/12</x:f>
        <x:v>1000</x:v>
      </x:c>
      <x:c r="C5" s="82" t="n">
        <x:v>12000</x:v>
      </x:c>
      <x:c r="D5" t="str">
        <x:v>التضخم/الاستخدام</x:v>
      </x:c>
      <x:c r="E5" t="str">
        <x:v>شبه ثابت</x:v>
      </x:c>
      <x:c r="F5" t="str"/>
    </x:row>
    <x:row r="6">
      <x:c r="A6" t="str">
        <x:v>تسويق مستمر</x:v>
      </x:c>
      <x:c r="B6" s="84" t="n">
        <x:f>C6/12</x:f>
        <x:v>2000</x:v>
      </x:c>
      <x:c r="C6" s="82" t="n">
        <x:v>24000</x:v>
      </x:c>
      <x:c r="D6" t="str">
        <x:v>التضخم/الاستخدام</x:v>
      </x:c>
      <x:c r="E6" t="str">
        <x:v>شبه ثابت</x:v>
      </x:c>
      <x:c r="F6" t="str"/>
    </x:row>
    <x:row r="7">
      <x:c r="A7" t="str">
        <x:v>تأمين</x:v>
      </x:c>
      <x:c r="B7" s="84" t="n">
        <x:f>C7/12</x:f>
        <x:v>375</x:v>
      </x:c>
      <x:c r="C7" s="82" t="n">
        <x:v>4500</x:v>
      </x:c>
      <x:c r="D7" t="str">
        <x:v>التضخم/الاستخدام</x:v>
      </x:c>
      <x:c r="E7" t="str">
        <x:v>شبه ثابت</x:v>
      </x:c>
      <x:c r="F7" t="str"/>
    </x:row>
    <x:row r="8">
      <x:c r="A8" t="str">
        <x:v>نظافة ومستهلكات</x:v>
      </x:c>
      <x:c r="B8" s="84" t="n">
        <x:f>C8/12</x:f>
        <x:v>600</x:v>
      </x:c>
      <x:c r="C8" s="82" t="n">
        <x:v>7200</x:v>
      </x:c>
      <x:c r="D8" t="str">
        <x:v>التضخم/الاستخدام</x:v>
      </x:c>
      <x:c r="E8" t="str">
        <x:v>شبه ثابت</x:v>
      </x:c>
      <x:c r="F8" t="str"/>
    </x:row>
    <x:row r="9">
      <x:c r="A9" t="str">
        <x:v>إنترنت واتصالات وأنظمة</x:v>
      </x:c>
      <x:c r="B9" s="84" t="n">
        <x:f>C9/12</x:f>
        <x:v>450</x:v>
      </x:c>
      <x:c r="C9" s="82" t="n">
        <x:v>5400</x:v>
      </x:c>
      <x:c r="D9" t="str">
        <x:v>التضخم/الاستخدام</x:v>
      </x:c>
      <x:c r="E9" t="str">
        <x:v>شبه ثابت</x:v>
      </x:c>
      <x:c r="F9" t="str"/>
    </x:row>
    <x:row r="10">
      <x:c r="A10" t="str">
        <x:v>رسوم وتجديدات ومهنية</x:v>
      </x:c>
      <x:c r="B10" s="84" t="n">
        <x:f>C10/12</x:f>
        <x:v>458.3333333333333</x:v>
      </x:c>
      <x:c r="C10" s="82" t="n">
        <x:v>5500</x:v>
      </x:c>
      <x:c r="D10" t="str">
        <x:v>التضخم/الاستخدام</x:v>
      </x:c>
      <x:c r="E10" t="str">
        <x:v>شبه ثابت</x:v>
      </x:c>
      <x:c r="F10" t="str"/>
    </x:row>
    <x:row r="11">
      <x:c r="A11" t="str">
        <x:v>أمن وحراسة خارجية</x:v>
      </x:c>
      <x:c r="B11" s="84" t="n">
        <x:f>C11/12</x:f>
        <x:v>400</x:v>
      </x:c>
      <x:c r="C11" s="82" t="n">
        <x:v>4800</x:v>
      </x:c>
      <x:c r="D11" t="str">
        <x:v>التضخم/الاستخدام</x:v>
      </x:c>
      <x:c r="E11" t="str">
        <x:v>شبه ثابت</x:v>
      </x:c>
      <x:c r="F11" t="str"/>
    </x:row>
    <x:row r="12">
      <x:c r="A12" t="str">
        <x:v>نقل ومصاريف مشتريات</x:v>
      </x:c>
      <x:c r="B12" s="84" t="n">
        <x:f>C12/12</x:f>
        <x:v>416.6666666666667</x:v>
      </x:c>
      <x:c r="C12" s="82" t="n">
        <x:v>5000</x:v>
      </x:c>
      <x:c r="D12" t="str">
        <x:v>التضخم/الاستخدام</x:v>
      </x:c>
      <x:c r="E12" t="str">
        <x:v>شبه ثابت</x:v>
      </x:c>
      <x:c r="F12" t="str"/>
    </x:row>
    <x:row r="13">
      <x:c r="A13" t="str">
        <x:v>مصروفات إدارية وبنكية</x:v>
      </x:c>
      <x:c r="B13" s="84" t="n">
        <x:f>C13/12</x:f>
        <x:v>500</x:v>
      </x:c>
      <x:c r="C13" s="82" t="n">
        <x:v>6000</x:v>
      </x:c>
      <x:c r="D13" t="str">
        <x:v>التضخم/الاستخدام</x:v>
      </x:c>
      <x:c r="E13" t="str">
        <x:v>شبه ثابت</x:v>
      </x:c>
      <x:c r="F13" t="str"/>
    </x:row>
    <x:row r="14">
      <x:c r="A14" t="str">
        <x:v>احتياطي تشغيلي</x:v>
      </x:c>
      <x:c r="B14" s="84" t="n">
        <x:f>C14/12</x:f>
        <x:v>666.6666666666666</x:v>
      </x:c>
      <x:c r="C14" s="82" t="n">
        <x:v>8000</x:v>
      </x:c>
      <x:c r="D14" t="str">
        <x:v>التضخم/الاستخدام</x:v>
      </x:c>
      <x:c r="E14" t="str">
        <x:v>شبه ثابت</x:v>
      </x:c>
      <x:c r="F14" t="str"/>
    </x:row>
    <x:row r="15">
      <x:c r="A15" s="52" t="str">
        <x:v>إجمالي غير العمالة</x:v>
      </x:c>
      <x:c r="B15" s="54"/>
      <x:c r="C15" s="54" t="n">
        <x:f>SUM(C4:C14)</x:f>
        <x:v>114800</x:v>
      </x:c>
      <x:c r="D15" s="52"/>
      <x:c r="E15" s="52"/>
      <x:c r="F15" s="52"/>
    </x:row>
    <x:row r="16">
      <x:c r="A16" t="str">
        <x:v>إجمالي العمالة</x:v>
      </x:c>
      <x:c r="B16" s="24"/>
      <x:c r="C16" s="87" t="n">
        <x:f>'CS - Payroll'!J15</x:f>
        <x:v>165196.2</x:v>
      </x:c>
    </x:row>
    <x:row r="17">
      <x:c r="A17" s="16" t="str">
        <x:v>إجمالي التشغيل قبل تكلفة المبيعات</x:v>
      </x:c>
      <x:c r="B17" s="60"/>
      <x:c r="C17" s="60" t="n">
        <x:f>SUM(C15:C16)</x:f>
        <x:v>279996.2</x:v>
      </x:c>
      <x:c r="D17" s="16"/>
      <x:c r="E17" s="16"/>
      <x:c r="F17" s="16"/>
    </x:row>
  </x:sheetData>
  <x:mergeCells>
    <x:mergeCell ref="A1:F1"/>
    <x:mergeCell ref="A15:B15"/>
    <x:mergeCell ref="A16:B16"/>
    <x:mergeCell ref="A17:B17"/>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x:c r="A1" s="29" t="str">
        <x:v>النموذج المالي لعشر سنوات - كوفي شوب</x:v>
      </x:c>
      <x:c r="B1" s="29"/>
      <x:c r="C1" s="29"/>
      <x:c r="D1" s="29"/>
      <x:c r="E1" s="29"/>
      <x:c r="F1" s="29"/>
      <x:c r="G1" s="29"/>
      <x:c r="H1" s="29"/>
      <x:c r="I1" s="29"/>
      <x:c r="J1" s="29"/>
      <x:c r="K1" s="29"/>
      <x:c r="L1" s="29"/>
    </x:row>
    <x:row r="3">
      <x:c r="A3" s="19" t="str">
        <x:v>المؤشر</x:v>
      </x:c>
      <x:c r="B3" s="19" t="str">
        <x:v>سنة 1</x:v>
      </x:c>
      <x:c r="C3" s="19" t="str">
        <x:v>سنة 2</x:v>
      </x:c>
      <x:c r="D3" s="19" t="str">
        <x:v>سنة 3</x:v>
      </x:c>
      <x:c r="E3" s="19" t="str">
        <x:v>سنة 4</x:v>
      </x:c>
      <x:c r="F3" s="19" t="str">
        <x:v>سنة 5</x:v>
      </x:c>
      <x:c r="G3" s="19" t="str">
        <x:v>سنة 6</x:v>
      </x:c>
      <x:c r="H3" s="19" t="str">
        <x:v>سنة 7</x:v>
      </x:c>
      <x:c r="I3" s="19" t="str">
        <x:v>سنة 8</x:v>
      </x:c>
      <x:c r="J3" s="19" t="str">
        <x:v>سنة 9</x:v>
      </x:c>
      <x:c r="K3" s="19" t="str">
        <x:v>سنة 10</x:v>
      </x:c>
    </x:row>
    <x:row r="4">
      <x:c r="A4" t="str">
        <x:v>الإيرادات</x:v>
      </x:c>
      <x:c r="B4" s="84" t="n">
        <x:f>'Dynamic Inputs'!$B$7*'Dynamic Inputs'!$B$8*'Dynamic Inputs'!$B$9</x:f>
        <x:v>437675</x:v>
      </x:c>
      <x:c r="C4" s="84" t="n">
        <x:f>B4*(1+'Dynamic Inputs'!$E$7)</x:f>
        <x:v>490196.00000000006</x:v>
      </x:c>
      <x:c r="D4" s="84" t="n">
        <x:f>C4*(1+'Dynamic Inputs'!$F$7)</x:f>
        <x:v>534313.6400000001</x:v>
      </x:c>
      <x:c r="E4" s="84" t="n">
        <x:f>D4*(1+'Dynamic Inputs'!$G$7)</x:f>
        <x:v>571715.5948000002</x:v>
      </x:c>
      <x:c r="F4" s="84" t="n">
        <x:f>E4*(1+'Dynamic Inputs'!$H$7)</x:f>
        <x:v>606018.5304880003</x:v>
      </x:c>
      <x:c r="G4" s="84" t="n">
        <x:f>F4*(1+'Dynamic Inputs'!$I$7)</x:f>
        <x:v>636319.4570124003</x:v>
      </x:c>
      <x:c r="H4" s="84" t="n">
        <x:f>G4*(1+'Dynamic Inputs'!$J$7)</x:f>
        <x:v>664953.8325779582</x:v>
      </x:c>
      <x:c r="I4" s="84" t="n">
        <x:f>H4*(1+'Dynamic Inputs'!$K$7)</x:f>
        <x:v>691551.9858810765</x:v>
      </x:c>
      <x:c r="J4" s="84" t="n">
        <x:f>I4*(1+'Dynamic Inputs'!$L$7)</x:f>
        <x:v>715756.3053869142</x:v>
      </x:c>
      <x:c r="K4" s="84" t="n">
        <x:f>J4*(1+'Dynamic Inputs'!$M$7)</x:f>
        <x:v>737228.9945485216</x:v>
      </x:c>
    </x:row>
    <x:row r="5">
      <x:c r="A5" t="str">
        <x:v>تكلفة المواد/الخدمة</x:v>
      </x:c>
      <x:c r="B5" s="84" t="n">
        <x:f>B4*'Dynamic Inputs'!$B$10</x:f>
        <x:v>135679.25</x:v>
      </x:c>
      <x:c r="C5" s="84" t="n">
        <x:f>C4*'Dynamic Inputs'!$B$10</x:f>
        <x:v>151960.76</x:v>
      </x:c>
      <x:c r="D5" s="84" t="n">
        <x:f>D4*'Dynamic Inputs'!$B$10</x:f>
        <x:v>165637.22840000005</x:v>
      </x:c>
      <x:c r="E5" s="84" t="n">
        <x:f>E4*'Dynamic Inputs'!$B$10</x:f>
        <x:v>177231.83438800005</x:v>
      </x:c>
      <x:c r="F5" s="84" t="n">
        <x:f>F4*'Dynamic Inputs'!$B$10</x:f>
        <x:v>187865.74445128007</x:v>
      </x:c>
      <x:c r="G5" s="84" t="n">
        <x:f>G4*'Dynamic Inputs'!$B$10</x:f>
        <x:v>197259.0316738441</x:v>
      </x:c>
      <x:c r="H5" s="84" t="n">
        <x:f>H4*'Dynamic Inputs'!$B$10</x:f>
        <x:v>206135.68809916705</x:v>
      </x:c>
      <x:c r="I5" s="84" t="n">
        <x:f>I4*'Dynamic Inputs'!$B$10</x:f>
        <x:v>214381.11562313372</x:v>
      </x:c>
      <x:c r="J5" s="84" t="n">
        <x:f>J4*'Dynamic Inputs'!$B$10</x:f>
        <x:v>221884.4546699434</x:v>
      </x:c>
      <x:c r="K5" s="84" t="n">
        <x:f>K4*'Dynamic Inputs'!$B$10</x:f>
        <x:v>228540.9883100417</x:v>
      </x:c>
    </x:row>
    <x:row r="6">
      <x:c r="A6" t="str">
        <x:v>مجمل الربح</x:v>
      </x:c>
      <x:c r="B6" s="84" t="n">
        <x:f>B4-B5</x:f>
        <x:v>301995.75</x:v>
      </x:c>
      <x:c r="C6" s="84" t="n">
        <x:f>C4-C5</x:f>
        <x:v>338235.24000000005</x:v>
      </x:c>
      <x:c r="D6" s="84" t="n">
        <x:f>D4-D5</x:f>
        <x:v>368676.4116000001</x:v>
      </x:c>
      <x:c r="E6" s="84" t="n">
        <x:f>E4-E5</x:f>
        <x:v>394483.7604120001</x:v>
      </x:c>
      <x:c r="F6" s="84" t="n">
        <x:f>F4-F5</x:f>
        <x:v>418152.78603672015</x:v>
      </x:c>
      <x:c r="G6" s="84" t="n">
        <x:f>G4-G5</x:f>
        <x:v>439060.4253385562</x:v>
      </x:c>
      <x:c r="H6" s="84" t="n">
        <x:f>H4-H5</x:f>
        <x:v>458818.14447879116</x:v>
      </x:c>
      <x:c r="I6" s="84" t="n">
        <x:f>I4-I5</x:f>
        <x:v>477170.8702579428</x:v>
      </x:c>
      <x:c r="J6" s="84" t="n">
        <x:f>J4-J5</x:f>
        <x:v>493871.85071697074</x:v>
      </x:c>
      <x:c r="K6" s="84" t="n">
        <x:f>K4-K5</x:f>
        <x:v>508688.00623847987</x:v>
      </x:c>
    </x:row>
    <x:row r="7">
      <x:c r="A7" t="str">
        <x:v>تكلفة العمالة</x:v>
      </x:c>
      <x:c r="B7" s="84" t="n">
        <x:f>'CS - Payroll'!J15</x:f>
        <x:v>165196.2</x:v>
      </x:c>
      <x:c r="C7" s="84" t="n">
        <x:f>B7*(1+'General Assumptions'!$B$9)</x:f>
        <x:v>171804.048</x:v>
      </x:c>
      <x:c r="D7" s="84" t="n">
        <x:f>C7*(1+'General Assumptions'!$B$9)</x:f>
        <x:v>178676.20992000002</x:v>
      </x:c>
      <x:c r="E7" s="84" t="n">
        <x:f>D7*(1+'General Assumptions'!$B$9)</x:f>
        <x:v>185823.25831680003</x:v>
      </x:c>
      <x:c r="F7" s="84" t="n">
        <x:f>E7*(1+'General Assumptions'!$B$9)</x:f>
        <x:v>193256.18864947202</x:v>
      </x:c>
      <x:c r="G7" s="84" t="n">
        <x:f>F7*(1+'General Assumptions'!$B$9)</x:f>
        <x:v>200986.43619545092</x:v>
      </x:c>
      <x:c r="H7" s="84" t="n">
        <x:f>G7*(1+'General Assumptions'!$B$9)</x:f>
        <x:v>209025.89364326897</x:v>
      </x:c>
      <x:c r="I7" s="84" t="n">
        <x:f>H7*(1+'General Assumptions'!$B$9)</x:f>
        <x:v>217386.92938899974</x:v>
      </x:c>
      <x:c r="J7" s="84" t="n">
        <x:f>I7*(1+'General Assumptions'!$B$9)</x:f>
        <x:v>226082.40656455973</x:v>
      </x:c>
      <x:c r="K7" s="84" t="n">
        <x:f>J7*(1+'General Assumptions'!$B$9)</x:f>
        <x:v>235125.70282714211</x:v>
      </x:c>
    </x:row>
    <x:row r="8">
      <x:c r="A8" t="str">
        <x:v>OPEX غير العمالة</x:v>
      </x:c>
      <x:c r="B8" s="84" t="n">
        <x:f>'CS - OPEX'!C15</x:f>
        <x:v>114800</x:v>
      </x:c>
      <x:c r="C8" s="84" t="n">
        <x:f>B8*(1+'General Assumptions'!$B$10)</x:f>
        <x:v>118244</x:v>
      </x:c>
      <x:c r="D8" s="84" t="n">
        <x:f>C8*(1+'General Assumptions'!$B$10)</x:f>
        <x:v>121791.32</x:v>
      </x:c>
      <x:c r="E8" s="84" t="n">
        <x:f>D8*(1+'General Assumptions'!$B$10)</x:f>
        <x:v>125445.05960000001</x:v>
      </x:c>
      <x:c r="F8" s="84" t="n">
        <x:f>E8*(1+'General Assumptions'!$B$10)</x:f>
        <x:v>129208.41138800001</x:v>
      </x:c>
      <x:c r="G8" s="84" t="n">
        <x:f>F8*(1+'General Assumptions'!$B$10)</x:f>
        <x:v>133084.66372964001</x:v>
      </x:c>
      <x:c r="H8" s="84" t="n">
        <x:f>G8*(1+'General Assumptions'!$B$10)</x:f>
        <x:v>137077.20364152922</x:v>
      </x:c>
      <x:c r="I8" s="84" t="n">
        <x:f>H8*(1+'General Assumptions'!$B$10)</x:f>
        <x:v>141189.5197507751</x:v>
      </x:c>
      <x:c r="J8" s="84" t="n">
        <x:f>I8*(1+'General Assumptions'!$B$10)</x:f>
        <x:v>145425.20534329835</x:v>
      </x:c>
      <x:c r="K8" s="84" t="n">
        <x:f>J8*(1+'General Assumptions'!$B$10)</x:f>
        <x:v>149787.9615035973</x:v>
      </x:c>
    </x:row>
    <x:row r="9">
      <x:c r="A9" t="str">
        <x:v>EBITDA</x:v>
      </x:c>
      <x:c r="B9" s="84" t="n">
        <x:f>B6-B7-B8</x:f>
        <x:v>21999.54999999999</x:v>
      </x:c>
      <x:c r="C9" s="84" t="n">
        <x:f>C6-C7-C8</x:f>
        <x:v>48187.19200000004</x:v>
      </x:c>
      <x:c r="D9" s="84" t="n">
        <x:f>D6-D7-D8</x:f>
        <x:v>68208.88168000008</x:v>
      </x:c>
      <x:c r="E9" s="84" t="n">
        <x:f>E6-E7-E8</x:f>
        <x:v>83215.44249520008</x:v>
      </x:c>
      <x:c r="F9" s="84" t="n">
        <x:f>F6-F7-F8</x:f>
        <x:v>95688.18599924812</x:v>
      </x:c>
      <x:c r="G9" s="84" t="n">
        <x:f>G6-G7-G8</x:f>
        <x:v>104989.32541346524</x:v>
      </x:c>
      <x:c r="H9" s="84" t="n">
        <x:f>H6-H7-H8</x:f>
        <x:v>112715.04719399297</x:v>
      </x:c>
      <x:c r="I9" s="84" t="n">
        <x:f>I6-I7-I8</x:f>
        <x:v>118594.42111816799</x:v>
      </x:c>
      <x:c r="J9" s="84" t="n">
        <x:f>J6-J7-J8</x:f>
        <x:v>122364.23880911266</x:v>
      </x:c>
      <x:c r="K9" s="84" t="n">
        <x:f>K6-K7-K8</x:f>
        <x:v>123774.34190774048</x:v>
      </x:c>
    </x:row>
    <x:row r="10">
      <x:c r="A10" t="str">
        <x:v>هامش EBITDA</x:v>
      </x:c>
      <x:c r="B10" s="86" t="n">
        <x:f>IFERROR(B9/B4,0)</x:f>
        <x:v>0.05026457988233275</x:v>
      </x:c>
      <x:c r="C10" s="86" t="n">
        <x:f>IFERROR(C9/C4,0)</x:f>
        <x:v>0.09830188740830205</x:v>
      </x:c>
      <x:c r="D10" s="86" t="n">
        <x:f>IFERROR(D9/D4,0)</x:f>
        <x:v>0.12765700999136026</x:v>
      </x:c>
      <x:c r="E10" s="86" t="n">
        <x:f>IFERROR(E9/E4,0)</x:f>
        <x:v>0.14555391396015852</x:v>
      </x:c>
      <x:c r="F10" s="86" t="n">
        <x:f>IFERROR(F9/F4,0)</x:f>
        <x:v>0.15789646881291666</x:v>
      </x:c>
      <x:c r="G10" s="86" t="n">
        <x:f>IFERROR(G9/G4,0)</x:f>
        <x:v>0.1649946803550583</x:v>
      </x:c>
      <x:c r="H10" s="86" t="n">
        <x:f>IFERROR(H9/H4,0)</x:f>
        <x:v>0.1695080796166077</x:v>
      </x:c>
      <x:c r="I10" s="86" t="n">
        <x:f>IFERROR(I9/I4,0)</x:f>
        <x:v>0.1714902473558397</x:v>
      </x:c>
      <x:c r="J10" s="86" t="n">
        <x:f>IFERROR(J9/J4,0)</x:f>
        <x:v>0.1709579613734127</x:v>
      </x:c>
      <x:c r="K10" s="86" t="n">
        <x:f>IFERROR(K9/K4,0)</x:f>
        <x:v>0.16789131032962124</x:v>
      </x:c>
    </x:row>
    <x:row r="11">
      <x:c r="A11" t="str">
        <x:v>الاستهلاك</x:v>
      </x:c>
      <x:c r="B11" s="84" t="n">
        <x:f>'CS - CAPEX'!B18*'General Assumptions'!$B$19</x:f>
        <x:v>29925</x:v>
      </x:c>
      <x:c r="C11" s="84" t="n">
        <x:f>'CS - CAPEX'!B18*'General Assumptions'!$B$19</x:f>
        <x:v>29925</x:v>
      </x:c>
      <x:c r="D11" s="84" t="n">
        <x:f>'CS - CAPEX'!B18*'General Assumptions'!$B$19</x:f>
        <x:v>29925</x:v>
      </x:c>
      <x:c r="E11" s="84" t="n">
        <x:f>'CS - CAPEX'!B18*'General Assumptions'!$B$19</x:f>
        <x:v>29925</x:v>
      </x:c>
      <x:c r="F11" s="84" t="n">
        <x:f>'CS - CAPEX'!B18*'General Assumptions'!$B$19</x:f>
        <x:v>29925</x:v>
      </x:c>
      <x:c r="G11" s="84" t="n">
        <x:f>'CS - CAPEX'!B18*'General Assumptions'!$B$19</x:f>
        <x:v>29925</x:v>
      </x:c>
      <x:c r="H11" s="84" t="n">
        <x:f>'CS - CAPEX'!B18*'General Assumptions'!$B$19</x:f>
        <x:v>29925</x:v>
      </x:c>
      <x:c r="I11" s="84" t="n">
        <x:f>'CS - CAPEX'!B18*'General Assumptions'!$B$19</x:f>
        <x:v>29925</x:v>
      </x:c>
      <x:c r="J11" s="84" t="n">
        <x:f>'CS - CAPEX'!B18*'General Assumptions'!$B$19</x:f>
        <x:v>29925</x:v>
      </x:c>
      <x:c r="K11" s="84" t="n">
        <x:f>'CS - CAPEX'!B18*'General Assumptions'!$B$19</x:f>
        <x:v>29925</x:v>
      </x:c>
    </x:row>
    <x:row r="12">
      <x:c r="A12" t="str">
        <x:v>صافي الربح</x:v>
      </x:c>
      <x:c r="B12" s="84" t="n">
        <x:f>B9-B11-B44-B45</x:f>
        <x:v>-22289.45000000001</x:v>
      </x:c>
      <x:c r="C12" s="84" t="n">
        <x:f>C9-C11-C44-C45</x:f>
        <x:v>4760.1536000000315</x:v>
      </x:c>
      <x:c r="D12" s="84" t="n">
        <x:f>D9-D11-D44-D45</x:f>
        <x:v>22419.10534400006</x:v>
      </x:c>
      <x:c r="E12" s="84" t="n">
        <x:f>E9-E11-E44-E45</x:f>
        <x:v>36065.95399616007</x:v>
      </x:c>
      <x:c r="F12" s="84" t="n">
        <x:f>F9-F11-F44-F45</x:f>
        <x:v>47685.7487993985</x:v>
      </x:c>
      <x:c r="G12" s="84" t="n">
        <x:f>G9-G11-G44-G45</x:f>
        <x:v>56768.26033077219</x:v>
      </x:c>
      <x:c r="H12" s="84" t="n">
        <x:f>H9-H11-H44-H45</x:f>
        <x:v>64590.437755194376</x:v>
      </x:c>
      <x:c r="I12" s="84" t="n">
        <x:f>I9-I11-I44-I45</x:f>
        <x:v>70935.5368945344</x:v>
      </x:c>
      <x:c r="J12" s="84" t="n">
        <x:f>J9-J11-J44-J45</x:f>
        <x:v>73951.39104729013</x:v>
      </x:c>
      <x:c r="K12" s="84" t="n">
        <x:f>K9-K11-K44-K45</x:f>
        <x:v>75079.47352619239</x:v>
      </x:c>
    </x:row>
    <x:row r="13">
      <x:c r="A13" t="str">
        <x:v>التدفق النقدي الحر</x:v>
      </x:c>
      <x:c r="B13" s="84" t="n">
        <x:f>B49</x:f>
        <x:v>-8660.860000000008</x:v>
      </x:c>
      <x:c r="C13" s="84" t="n">
        <x:f>C49</x:f>
        <x:v>35398.49360000003</x:v>
      </x:c>
      <x:c r="D13" s="84" t="n">
        <x:f>D49</x:f>
        <x:v>51920.04694400006</x:v>
      </x:c>
      <x:c r="E13" s="84" t="n">
        <x:f>E49</x:f>
        <x:v>64328.23670816005</x:v>
      </x:c>
      <x:c r="F13" s="84" t="n">
        <x:f>F49</x:f>
        <x:v>74492.37265811849</x:v>
      </x:c>
      <x:c r="G13" s="84" t="n">
        <x:f>G49</x:f>
        <x:v>82173.40473930819</x:v>
      </x:c>
      <x:c r="H13" s="84" t="n">
        <x:f>H49</x:f>
        <x:v>88453.9752212609</x:v>
      </x:c>
      <x:c r="I13" s="84" t="n">
        <x:f>I49</x:f>
        <x:v>93279.6476963473</x:v>
      </x:c>
      <x:c r="J13" s="84" t="n">
        <x:f>J49</x:f>
        <x:v>96439.13187693988</x:v>
      </x:c>
      <x:c r="K13" s="84" t="n">
        <x:f>K49</x:f>
        <x:v>97731.11217649595</x:v>
      </x:c>
    </x:row>
    <x:row r="14">
      <x:c r="A14" t="str">
        <x:v>DSCR</x:v>
      </x:c>
      <x:c r="B14" s="89" t="n">
        <x:f>IF(1&lt;='Dynamic Inputs'!$B$12,IFERROR((B9-B45)/(('CS - CAPEX'!$B$18*'Dynamic Inputs'!$B$11)*'General Assumptions'!$B$6/(1-(1+'General Assumptions'!$B$6)^(-'Dynamic Inputs'!$B$12))),0),0)</x:f>
        <x:v>0.6937512377372038</x:v>
      </x:c>
      <x:c r="C14" s="89" t="n">
        <x:f>IF(2&lt;='Dynamic Inputs'!$B$12,IFERROR((C9-C45)/(('CS - CAPEX'!$B$18*'Dynamic Inputs'!$B$11)*'General Assumptions'!$B$6/(1-(1+'General Assumptions'!$B$6)^(-'Dynamic Inputs'!$B$12))),0),0)</x:f>
        <x:v>1.482045472754012</x:v>
      </x:c>
      <x:c r="D14" s="89" t="n">
        <x:f>IF(3&lt;='Dynamic Inputs'!$B$12,IFERROR((D9-D45)/(('CS - CAPEX'!$B$18*'Dynamic Inputs'!$B$11)*'General Assumptions'!$B$6/(1-(1+'General Assumptions'!$B$6)^(-'Dynamic Inputs'!$B$12))),0),0)</x:f>
        <x:v>1.974207452872007</x:v>
      </x:c>
      <x:c r="E14" s="89" t="n">
        <x:f>IF(4&lt;='Dynamic Inputs'!$B$12,IFERROR((E9-E45)/(('CS - CAPEX'!$B$18*'Dynamic Inputs'!$B$11)*'General Assumptions'!$B$6/(1-(1+'General Assumptions'!$B$6)^(-'Dynamic Inputs'!$B$12))),0),0)</x:f>
        <x:v>2.3398485957049995</x:v>
      </x:c>
      <x:c r="F14" s="89" t="n">
        <x:f>IF(5&lt;='Dynamic Inputs'!$B$12,IFERROR((F9-F45)/(('CS - CAPEX'!$B$18*'Dynamic Inputs'!$B$11)*'General Assumptions'!$B$6/(1-(1+'General Assumptions'!$B$6)^(-'Dynamic Inputs'!$B$12))),0),0)</x:f>
        <x:v>2.641567016634621</x:v>
      </x:c>
      <x:c r="G14" s="89" t="n">
        <x:f>IF(6&lt;='Dynamic Inputs'!$B$12,IFERROR((G9-G45)/(('CS - CAPEX'!$B$18*'Dynamic Inputs'!$B$11)*'General Assumptions'!$B$6/(1-(1+'General Assumptions'!$B$6)^(-'Dynamic Inputs'!$B$12))),0),0)</x:f>
        <x:v>2.863272736834179</x:v>
      </x:c>
      <x:c r="H14" s="89" t="n">
        <x:f>IF(7&lt;='Dynamic Inputs'!$B$12,IFERROR((H9-H45)/(('CS - CAPEX'!$B$18*'Dynamic Inputs'!$B$11)*'General Assumptions'!$B$6/(1-(1+'General Assumptions'!$B$6)^(-'Dynamic Inputs'!$B$12))),0),0)</x:f>
        <x:v>3.04523408286881</x:v>
      </x:c>
      <x:c r="I14" s="89" t="n">
        <x:f>IF(8&lt;='Dynamic Inputs'!$B$12,IFERROR((I9-I45)/(('CS - CAPEX'!$B$18*'Dynamic Inputs'!$B$11)*'General Assumptions'!$B$6/(1-(1+'General Assumptions'!$B$6)^(-'Dynamic Inputs'!$B$12))),0),0)</x:f>
        <x:v>0</x:v>
      </x:c>
      <x:c r="J14" s="89" t="n">
        <x:f>IF(9&lt;='Dynamic Inputs'!$B$12,IFERROR((J9-J45)/(('CS - CAPEX'!$B$18*'Dynamic Inputs'!$B$11)*'General Assumptions'!$B$6/(1-(1+'General Assumptions'!$B$6)^(-'Dynamic Inputs'!$B$12))),0),0)</x:f>
        <x:v>0</x:v>
      </x:c>
      <x:c r="K14" s="89" t="n">
        <x:f>IF(10&lt;='Dynamic Inputs'!$B$12,IFERROR((K9-K45)/(('CS - CAPEX'!$B$18*'Dynamic Inputs'!$B$11)*'General Assumptions'!$B$6/(1-(1+'General Assumptions'!$B$6)^(-'Dynamic Inputs'!$B$12))),0),0)</x:f>
        <x:v>0</x:v>
      </x:c>
    </x:row>
    <x:row r="16">
      <x:c r="A16" s="19" t="str">
        <x:v>المؤشر</x:v>
      </x:c>
      <x:c r="B16" s="19" t="str">
        <x:v>دون الأرض</x:v>
      </x:c>
      <x:c r="C16" s="19" t="str">
        <x:v>مع الأرض</x:v>
      </x:c>
      <x:c r="D16" s="19" t="str">
        <x:v>قرار</x:v>
      </x:c>
      <x:c r="E16" s="19" t="str">
        <x:v>حد القبول</x:v>
      </x:c>
      <x:c r="F16" s="19" t="str">
        <x:v>ملاحظة</x:v>
      </x:c>
    </x:row>
    <x:row r="17">
      <x:c r="A17" t="str">
        <x:v>CAPEX</x:v>
      </x:c>
      <x:c r="B17" s="24" t="n">
        <x:f>'CS - CAPEX'!B18</x:f>
        <x:v>399000</x:v>
      </x:c>
      <x:c r="C17" s="24" t="n">
        <x:f>'CS - CAPEX'!B20</x:f>
        <x:v>1199000</x:v>
      </x:c>
      <x:c r="D17" t="str">
        <x:v>موصى به بشروط</x:v>
      </x:c>
      <x:c r="E17" t="str"/>
      <x:c r="F17" t="str"/>
    </x:row>
    <x:row r="18">
      <x:c r="A18" t="str">
        <x:v>NPV</x:v>
      </x:c>
      <x:c r="B18" s="24" t="n">
        <x:f>B51+C51/(1+'General Assumptions'!$B$5)^1+D51/(1+'General Assumptions'!$B$5)^2+E51/(1+'General Assumptions'!$B$5)^3+F51/(1+'General Assumptions'!$B$5)^4+G51/(1+'General Assumptions'!$B$5)^5+H51/(1+'General Assumptions'!$B$5)^6+I51/(1+'General Assumptions'!$B$5)^7+J51/(1+'General Assumptions'!$B$5)^8+K51/(1+'General Assumptions'!$B$5)^9+L51/(1+'General Assumptions'!$B$5)^10</x:f>
        <x:v>304192.9780759854</x:v>
      </x:c>
      <x:c r="C18" s="24" t="n">
        <x:f>B52+C52/(1+'General Assumptions'!$B$5)^1+D52/(1+'General Assumptions'!$B$5)^2+E52/(1+'General Assumptions'!$B$5)^3+F52/(1+'General Assumptions'!$B$5)^4+G52/(1+'General Assumptions'!$B$5)^5+H52/(1+'General Assumptions'!$B$5)^6+I52/(1+'General Assumptions'!$B$5)^7+J52/(1+'General Assumptions'!$B$5)^8+K52/(1+'General Assumptions'!$B$5)^9+L52/(1+'General Assumptions'!$B$5)^10</x:f>
        <x:v>-495807.0219240144</x:v>
      </x:c>
      <x:c r="D18" t="str">
        <x:v>يُقبل إذا موجب بعد الأرض</x:v>
      </x:c>
      <x:c r="E18" s="24" t="n">
        <x:v>0</x:v>
      </x:c>
      <x:c r="F18" t="str"/>
    </x:row>
    <x:row r="19">
      <x:c r="A19" t="str">
        <x:v>IRR</x:v>
      </x:c>
      <x:c r="B19" s="26" t="n">
        <x:f>IRR(B51:L51)</x:f>
        <x:v>0.24945762188458753</x:v>
      </x:c>
      <x:c r="C19" s="26" t="n">
        <x:f>IRR(B52:L52)</x:f>
        <x:v>0.027046270283204527</x:v>
      </x:c>
      <x:c r="D19" t="str">
        <x:v>يُقارن بمعدل الخصم</x:v>
      </x:c>
      <x:c r="E19" s="26" t="n">
        <x:v>0.115</x:v>
      </x:c>
      <x:c r="F19" t="str"/>
    </x:row>
    <x:row r="20">
      <x:c r="A20" t="str">
        <x:v>فترة الاسترداد</x:v>
      </x:c>
      <x:c r="B20" t="n">
        <x:f>COUNTIF(B53:L53,"&lt;0")</x:f>
        <x:v>6</x:v>
      </x:c>
      <x:c r="C20" t="n">
        <x:f>COUNTIF(B54:L54,"&lt;0")</x:f>
        <x:v>10</x:v>
      </x:c>
      <x:c r="D20" t="str">
        <x:v>الأقصر أفضل</x:v>
      </x:c>
      <x:c r="E20" t="n">
        <x:v>7</x:v>
      </x:c>
      <x:c r="F20" t="str">
        <x:v>سنة</x:v>
      </x:c>
    </x:row>
    <x:row r="21">
      <x:c r="A21" t="str">
        <x:v>أدنى DSCR</x:v>
      </x:c>
      <x:c r="B21" s="62" t="n">
        <x:f>MIN(B14:INDEX(B14:K14,1,'Dynamic Inputs'!$B$12))</x:f>
        <x:v>0.6937512377372038</x:v>
      </x:c>
      <x:c r="C21" s="62" t="n">
        <x:f>B21</x:f>
        <x:v>0.6937512377372038</x:v>
      </x:c>
      <x:c r="D21" t="str">
        <x:v>يجب ألا يقل عن 1.30x</x:v>
      </x:c>
      <x:c r="E21" s="62" t="n">
        <x:v>1.3</x:v>
      </x:c>
      <x:c r="F21" t="str"/>
    </x:row>
    <x:row r="42">
      <x:c r="A42" s="91" t="str">
        <x:v>حسابات مساندة</x:v>
      </x:c>
      <x:c r="B42" s="92" t="str">
        <x:v>سنة 1</x:v>
      </x:c>
      <x:c r="C42" s="92" t="str">
        <x:v>سنة 2</x:v>
      </x:c>
      <x:c r="D42" s="92" t="str">
        <x:v>سنة 3</x:v>
      </x:c>
      <x:c r="E42" s="92" t="str">
        <x:v>سنة 4</x:v>
      </x:c>
      <x:c r="F42" s="92" t="str">
        <x:v>سنة 5</x:v>
      </x:c>
      <x:c r="G42" s="92" t="str">
        <x:v>سنة 6</x:v>
      </x:c>
      <x:c r="H42" s="92" t="str">
        <x:v>سنة 7</x:v>
      </x:c>
      <x:c r="I42" s="92" t="str">
        <x:v>سنة 8</x:v>
      </x:c>
      <x:c r="J42" s="92" t="str">
        <x:v>سنة 9</x:v>
      </x:c>
      <x:c r="K42" s="92" t="str">
        <x:v>سنة 10</x:v>
      </x:c>
      <x:c r="L42" s="95"/>
    </x:row>
    <x:row r="43">
      <x:c r="A43" s="96" t="str">
        <x:v>رصيد الدين التقريبي</x:v>
      </x:c>
      <x:c r="B43" s="95" t="n">
        <x:f>MAX(0,'CS - CAPEX'!$B$18*'Dynamic Inputs'!$B$11*(1-(1-1)/'Dynamic Inputs'!$B$12))</x:f>
        <x:v>159600</x:v>
      </x:c>
      <x:c r="C43" s="95" t="n">
        <x:f>MAX(0,'CS - CAPEX'!$B$18*'Dynamic Inputs'!$B$11*(1-(2-1)/'Dynamic Inputs'!$B$12))</x:f>
        <x:v>136800</x:v>
      </x:c>
      <x:c r="D43" s="95" t="n">
        <x:f>MAX(0,'CS - CAPEX'!$B$18*'Dynamic Inputs'!$B$11*(1-(3-1)/'Dynamic Inputs'!$B$12))</x:f>
        <x:v>114000</x:v>
      </x:c>
      <x:c r="E43" s="95" t="n">
        <x:f>MAX(0,'CS - CAPEX'!$B$18*'Dynamic Inputs'!$B$11*(1-(4-1)/'Dynamic Inputs'!$B$12))</x:f>
        <x:v>91200</x:v>
      </x:c>
      <x:c r="F43" s="95" t="n">
        <x:f>MAX(0,'CS - CAPEX'!$B$18*'Dynamic Inputs'!$B$11*(1-(5-1)/'Dynamic Inputs'!$B$12))</x:f>
        <x:v>68400</x:v>
      </x:c>
      <x:c r="G43" s="95" t="n">
        <x:f>MAX(0,'CS - CAPEX'!$B$18*'Dynamic Inputs'!$B$11*(1-(6-1)/'Dynamic Inputs'!$B$12))</x:f>
        <x:v>45600</x:v>
      </x:c>
      <x:c r="H43" s="95" t="n">
        <x:f>MAX(0,'CS - CAPEX'!$B$18*'Dynamic Inputs'!$B$11*(1-(7-1)/'Dynamic Inputs'!$B$12))</x:f>
        <x:v>22800.000000000007</x:v>
      </x:c>
      <x:c r="I43" s="95" t="n">
        <x:f>MAX(0,'CS - CAPEX'!$B$18*'Dynamic Inputs'!$B$11*(1-(8-1)/'Dynamic Inputs'!$B$12))</x:f>
        <x:v>0</x:v>
      </x:c>
      <x:c r="J43" s="95" t="n">
        <x:f>MAX(0,'CS - CAPEX'!$B$18*'Dynamic Inputs'!$B$11*(1-(9-1)/'Dynamic Inputs'!$B$12))</x:f>
        <x:v>0</x:v>
      </x:c>
      <x:c r="K43" s="95" t="n">
        <x:f>MAX(0,'CS - CAPEX'!$B$18*'Dynamic Inputs'!$B$11*(1-(10-1)/'Dynamic Inputs'!$B$12))</x:f>
        <x:v>0</x:v>
      </x:c>
      <x:c r="L43" s="95"/>
    </x:row>
    <x:row r="44">
      <x:c r="A44" s="96" t="str">
        <x:v>الفائدة</x:v>
      </x:c>
      <x:c r="B44" s="95" t="n">
        <x:f>IF(1&lt;='Dynamic Inputs'!$B$12,B43*'General Assumptions'!$B$6,0)</x:f>
        <x:v>14364</x:v>
      </x:c>
      <x:c r="C44" s="95" t="n">
        <x:f>IF(2&lt;='Dynamic Inputs'!$B$12,C43*'General Assumptions'!$B$6,0)</x:f>
        <x:v>12312</x:v>
      </x:c>
      <x:c r="D44" s="95" t="n">
        <x:f>IF(3&lt;='Dynamic Inputs'!$B$12,D43*'General Assumptions'!$B$6,0)</x:f>
        <x:v>10260</x:v>
      </x:c>
      <x:c r="E44" s="95" t="n">
        <x:f>IF(4&lt;='Dynamic Inputs'!$B$12,E43*'General Assumptions'!$B$6,0)</x:f>
        <x:v>8208</x:v>
      </x:c>
      <x:c r="F44" s="95" t="n">
        <x:f>IF(5&lt;='Dynamic Inputs'!$B$12,F43*'General Assumptions'!$B$6,0)</x:f>
        <x:v>6156</x:v>
      </x:c>
      <x:c r="G44" s="95" t="n">
        <x:f>IF(6&lt;='Dynamic Inputs'!$B$12,G43*'General Assumptions'!$B$6,0)</x:f>
        <x:v>4104</x:v>
      </x:c>
      <x:c r="H44" s="95" t="n">
        <x:f>IF(7&lt;='Dynamic Inputs'!$B$12,H43*'General Assumptions'!$B$6,0)</x:f>
        <x:v>2052.0000000000005</x:v>
      </x:c>
      <x:c r="I44" s="95" t="n">
        <x:f>IF(8&lt;='Dynamic Inputs'!$B$12,I43*'General Assumptions'!$B$6,0)</x:f>
        <x:v>0</x:v>
      </x:c>
      <x:c r="J44" s="95" t="n">
        <x:f>IF(9&lt;='Dynamic Inputs'!$B$12,J43*'General Assumptions'!$B$6,0)</x:f>
        <x:v>0</x:v>
      </x:c>
      <x:c r="K44" s="95" t="n">
        <x:f>IF(10&lt;='Dynamic Inputs'!$B$12,K43*'General Assumptions'!$B$6,0)</x:f>
        <x:v>0</x:v>
      </x:c>
      <x:c r="L44" s="95"/>
    </x:row>
    <x:row r="45">
      <x:c r="A45" s="96" t="str">
        <x:v>الضريبة</x:v>
      </x:c>
      <x:c r="B45" s="95" t="n">
        <x:f>MAX(0,B9-B11-B44)*'General Assumptions'!$B$7</x:f>
        <x:v>0</x:v>
      </x:c>
      <x:c r="C45" s="95" t="n">
        <x:f>MAX(0,C9-C11-C44)*'General Assumptions'!$B$7</x:f>
        <x:v>1190.0384000000079</x:v>
      </x:c>
      <x:c r="D45" s="95" t="n">
        <x:f>MAX(0,D9-D11-D44)*'General Assumptions'!$B$7</x:f>
        <x:v>5604.776336000016</x:v>
      </x:c>
      <x:c r="E45" s="95" t="n">
        <x:f>MAX(0,E9-E11-E44)*'General Assumptions'!$B$7</x:f>
        <x:v>9016.488499040017</x:v>
      </x:c>
      <x:c r="F45" s="95" t="n">
        <x:f>MAX(0,F9-F11-F44)*'General Assumptions'!$B$7</x:f>
        <x:v>11921.437199849624</x:v>
      </x:c>
      <x:c r="G45" s="95" t="n">
        <x:f>MAX(0,G9-G11-G44)*'General Assumptions'!$B$7</x:f>
        <x:v>14192.065082693049</x:v>
      </x:c>
      <x:c r="H45" s="95" t="n">
        <x:f>MAX(0,H9-H11-H44)*'General Assumptions'!$B$7</x:f>
        <x:v>16147.609438798594</x:v>
      </x:c>
      <x:c r="I45" s="95" t="n">
        <x:f>MAX(0,I9-I11-I44)*'General Assumptions'!$B$7</x:f>
        <x:v>17733.8842236336</x:v>
      </x:c>
      <x:c r="J45" s="95" t="n">
        <x:f>MAX(0,J9-J11-J44)*'General Assumptions'!$B$7</x:f>
        <x:v>18487.847761822533</x:v>
      </x:c>
      <x:c r="K45" s="95" t="n">
        <x:f>MAX(0,K9-K11-K44)*'General Assumptions'!$B$7</x:f>
        <x:v>18769.868381548098</x:v>
      </x:c>
      <x:c r="L45" s="95"/>
    </x:row>
    <x:row r="46">
      <x:c r="A46" s="96" t="str">
        <x:v>رأس المال العامل</x:v>
      </x:c>
      <x:c r="B46" s="95" t="n">
        <x:f>B4*'General Assumptions'!$B$16</x:f>
        <x:v>26260.5</x:v>
      </x:c>
      <x:c r="C46" s="95" t="n">
        <x:f>C4*'General Assumptions'!$B$16</x:f>
        <x:v>29411.760000000002</x:v>
      </x:c>
      <x:c r="D46" s="95" t="n">
        <x:f>D4*'General Assumptions'!$B$16</x:f>
        <x:v>32058.818400000007</x:v>
      </x:c>
      <x:c r="E46" s="95" t="n">
        <x:f>E4*'General Assumptions'!$B$16</x:f>
        <x:v>34302.93568800001</x:v>
      </x:c>
      <x:c r="F46" s="95" t="n">
        <x:f>F4*'General Assumptions'!$B$16</x:f>
        <x:v>36361.11182928002</x:v>
      </x:c>
      <x:c r="G46" s="95" t="n">
        <x:f>G4*'General Assumptions'!$B$16</x:f>
        <x:v>38179.167420744016</x:v>
      </x:c>
      <x:c r="H46" s="95" t="n">
        <x:f>H4*'General Assumptions'!$B$16</x:f>
        <x:v>39897.229954677496</x:v>
      </x:c>
      <x:c r="I46" s="95" t="n">
        <x:f>I4*'General Assumptions'!$B$16</x:f>
        <x:v>41493.119152864594</x:v>
      </x:c>
      <x:c r="J46" s="95" t="n">
        <x:f>J4*'General Assumptions'!$B$16</x:f>
        <x:v>42945.37832321485</x:v>
      </x:c>
      <x:c r="K46" s="95" t="n">
        <x:f>K4*'General Assumptions'!$B$16</x:f>
        <x:v>44233.739672911295</x:v>
      </x:c>
      <x:c r="L46" s="95"/>
    </x:row>
    <x:row r="47">
      <x:c r="A47" s="96" t="str">
        <x:v>التغير في رأس المال العامل</x:v>
      </x:c>
      <x:c r="B47" s="95" t="n">
        <x:f>B46</x:f>
        <x:v>26260.5</x:v>
      </x:c>
      <x:c r="C47" s="95" t="n">
        <x:f>C46-B46</x:f>
        <x:v>3151.260000000002</x:v>
      </x:c>
      <x:c r="D47" s="95" t="n">
        <x:f>D46-C46</x:f>
        <x:v>2647.0584000000053</x:v>
      </x:c>
      <x:c r="E47" s="95" t="n">
        <x:f>E46-D46</x:f>
        <x:v>2244.117288000005</x:v>
      </x:c>
      <x:c r="F47" s="95" t="n">
        <x:f>F46-E46</x:f>
        <x:v>2058.1761412800042</x:v>
      </x:c>
      <x:c r="G47" s="95" t="n">
        <x:f>G46-F46</x:f>
        <x:v>1818.055591463999</x:v>
      </x:c>
      <x:c r="H47" s="95" t="n">
        <x:f>H46-G46</x:f>
        <x:v>1718.0625339334802</x:v>
      </x:c>
      <x:c r="I47" s="95" t="n">
        <x:f>I46-H46</x:f>
        <x:v>1595.8891981870984</x:v>
      </x:c>
      <x:c r="J47" s="95" t="n">
        <x:f>J46-I46</x:f>
        <x:v>1452.2591703502549</x:v>
      </x:c>
      <x:c r="K47" s="95" t="n">
        <x:f>K46-J46</x:f>
        <x:v>1288.3613496964463</x:v>
      </x:c>
      <x:c r="L47" s="95"/>
    </x:row>
    <x:row r="48">
      <x:c r="A48" s="96" t="str">
        <x:v>الصيانة الرأسمالية</x:v>
      </x:c>
      <x:c r="B48" s="95" t="n">
        <x:f>'CS - CAPEX'!$B$18*'General Assumptions'!$B$18</x:f>
        <x:v>5985</x:v>
      </x:c>
      <x:c r="C48" s="95" t="n">
        <x:f>'CS - CAPEX'!$B$18*'General Assumptions'!$B$18</x:f>
        <x:v>5985</x:v>
      </x:c>
      <x:c r="D48" s="95" t="n">
        <x:f>'CS - CAPEX'!$B$18*'General Assumptions'!$B$18</x:f>
        <x:v>5985</x:v>
      </x:c>
      <x:c r="E48" s="95" t="n">
        <x:f>'CS - CAPEX'!$B$18*'General Assumptions'!$B$18</x:f>
        <x:v>5985</x:v>
      </x:c>
      <x:c r="F48" s="95" t="n">
        <x:f>'CS - CAPEX'!$B$18*'General Assumptions'!$B$18</x:f>
        <x:v>5985</x:v>
      </x:c>
      <x:c r="G48" s="95" t="n">
        <x:f>'CS - CAPEX'!$B$18*'General Assumptions'!$B$18</x:f>
        <x:v>5985</x:v>
      </x:c>
      <x:c r="H48" s="95" t="n">
        <x:f>'CS - CAPEX'!$B$18*'General Assumptions'!$B$18</x:f>
        <x:v>5985</x:v>
      </x:c>
      <x:c r="I48" s="95" t="n">
        <x:f>'CS - CAPEX'!$B$18*'General Assumptions'!$B$18</x:f>
        <x:v>5985</x:v>
      </x:c>
      <x:c r="J48" s="95" t="n">
        <x:f>'CS - CAPEX'!$B$18*'General Assumptions'!$B$18</x:f>
        <x:v>5985</x:v>
      </x:c>
      <x:c r="K48" s="95" t="n">
        <x:f>'CS - CAPEX'!$B$18*'General Assumptions'!$B$18</x:f>
        <x:v>5985</x:v>
      </x:c>
      <x:c r="L48" s="95"/>
    </x:row>
    <x:row r="49">
      <x:c r="A49" s="96" t="str">
        <x:v>التدفق دون القيمة النهائية</x:v>
      </x:c>
      <x:c r="B49" s="95" t="n">
        <x:f>(B9-B11)*(1-'General Assumptions'!$B$7)+B11-B48-B47</x:f>
        <x:v>-8660.860000000008</x:v>
      </x:c>
      <x:c r="C49" s="95" t="n">
        <x:f>(C9-C11)*(1-'General Assumptions'!$B$7)+C11-C48-C47</x:f>
        <x:v>35398.49360000003</x:v>
      </x:c>
      <x:c r="D49" s="95" t="n">
        <x:f>(D9-D11)*(1-'General Assumptions'!$B$7)+D11-D48-D47</x:f>
        <x:v>51920.04694400006</x:v>
      </x:c>
      <x:c r="E49" s="95" t="n">
        <x:f>(E9-E11)*(1-'General Assumptions'!$B$7)+E11-E48-E47</x:f>
        <x:v>64328.23670816005</x:v>
      </x:c>
      <x:c r="F49" s="95" t="n">
        <x:f>(F9-F11)*(1-'General Assumptions'!$B$7)+F11-F48-F47</x:f>
        <x:v>74492.37265811849</x:v>
      </x:c>
      <x:c r="G49" s="95" t="n">
        <x:f>(G9-G11)*(1-'General Assumptions'!$B$7)+G11-G48-G47</x:f>
        <x:v>82173.40473930819</x:v>
      </x:c>
      <x:c r="H49" s="95" t="n">
        <x:f>(H9-H11)*(1-'General Assumptions'!$B$7)+H11-H48-H47</x:f>
        <x:v>88453.9752212609</x:v>
      </x:c>
      <x:c r="I49" s="95" t="n">
        <x:f>(I9-I11)*(1-'General Assumptions'!$B$7)+I11-I48-I47</x:f>
        <x:v>93279.6476963473</x:v>
      </x:c>
      <x:c r="J49" s="95" t="n">
        <x:f>(J9-J11)*(1-'General Assumptions'!$B$7)+J11-J48-J47</x:f>
        <x:v>96439.13187693988</x:v>
      </x:c>
      <x:c r="K49" s="95" t="n">
        <x:f>(K9-K11)*(1-'General Assumptions'!$B$7)+K11-K48-K47</x:f>
        <x:v>97731.11217649595</x:v>
      </x:c>
      <x:c r="L49" s="95"/>
    </x:row>
    <x:row r="50">
      <x:c r="A50" s="96" t="str">
        <x:v>التدفق مع القيمة النهائية</x:v>
      </x:c>
      <x:c r="B50" s="95" t="n">
        <x:f>B49</x:f>
        <x:v>-8660.860000000008</x:v>
      </x:c>
      <x:c r="C50" s="95" t="n">
        <x:f>C49</x:f>
        <x:v>35398.49360000003</x:v>
      </x:c>
      <x:c r="D50" s="95" t="n">
        <x:f>D49</x:f>
        <x:v>51920.04694400006</x:v>
      </x:c>
      <x:c r="E50" s="95" t="n">
        <x:f>E49</x:f>
        <x:v>64328.23670816005</x:v>
      </x:c>
      <x:c r="F50" s="95" t="n">
        <x:f>F49</x:f>
        <x:v>74492.37265811849</x:v>
      </x:c>
      <x:c r="G50" s="95" t="n">
        <x:f>G49</x:f>
        <x:v>82173.40473930819</x:v>
      </x:c>
      <x:c r="H50" s="95" t="n">
        <x:f>H49</x:f>
        <x:v>88453.9752212609</x:v>
      </x:c>
      <x:c r="I50" s="95" t="n">
        <x:f>I49</x:f>
        <x:v>93279.6476963473</x:v>
      </x:c>
      <x:c r="J50" s="95" t="n">
        <x:f>J49</x:f>
        <x:v>96439.13187693988</x:v>
      </x:c>
      <x:c r="K50" s="95" t="n">
        <x:f>K49+MAX(0,K9)*'Dynamic Inputs'!$B$13</x:f>
        <x:v>716602.8217151983</x:v>
      </x:c>
      <x:c r="L50" s="95"/>
    </x:row>
    <x:row r="51">
      <x:c r="A51" s="96" t="str">
        <x:v>التدفقات دون الأرض</x:v>
      </x:c>
      <x:c r="B51" s="95" t="n">
        <x:f>-('CS - CAPEX'!$B$18*(1-'Dynamic Inputs'!$B$11))</x:f>
        <x:v>-239400</x:v>
      </x:c>
      <x:c r="C51" s="95" t="n">
        <x:f>B50</x:f>
        <x:v>-8660.860000000008</x:v>
      </x:c>
      <x:c r="D51" s="95" t="n">
        <x:f>C50</x:f>
        <x:v>35398.49360000003</x:v>
      </x:c>
      <x:c r="E51" s="95" t="n">
        <x:f>D50</x:f>
        <x:v>51920.04694400006</x:v>
      </x:c>
      <x:c r="F51" s="95" t="n">
        <x:f>E50</x:f>
        <x:v>64328.23670816005</x:v>
      </x:c>
      <x:c r="G51" s="95" t="n">
        <x:f>F50</x:f>
        <x:v>74492.37265811849</x:v>
      </x:c>
      <x:c r="H51" s="95" t="n">
        <x:f>G50</x:f>
        <x:v>82173.40473930819</x:v>
      </x:c>
      <x:c r="I51" s="95" t="n">
        <x:f>H50</x:f>
        <x:v>88453.9752212609</x:v>
      </x:c>
      <x:c r="J51" s="95" t="n">
        <x:f>I50</x:f>
        <x:v>93279.6476963473</x:v>
      </x:c>
      <x:c r="K51" s="95" t="n">
        <x:f>J50</x:f>
        <x:v>96439.13187693988</x:v>
      </x:c>
      <x:c r="L51" s="95" t="n">
        <x:f>K50</x:f>
        <x:v>716602.8217151983</x:v>
      </x:c>
    </x:row>
    <x:row r="52">
      <x:c r="A52" s="96" t="str">
        <x:v>التدفقات مع الأرض</x:v>
      </x:c>
      <x:c r="B52" s="95" t="n">
        <x:f>-('CS - CAPEX'!$B$20-('CS - CAPEX'!$B$18*'Dynamic Inputs'!$B$11))</x:f>
        <x:v>-1039400</x:v>
      </x:c>
      <x:c r="C52" s="95" t="n">
        <x:f>B50</x:f>
        <x:v>-8660.860000000008</x:v>
      </x:c>
      <x:c r="D52" s="95" t="n">
        <x:f>C50</x:f>
        <x:v>35398.49360000003</x:v>
      </x:c>
      <x:c r="E52" s="95" t="n">
        <x:f>D50</x:f>
        <x:v>51920.04694400006</x:v>
      </x:c>
      <x:c r="F52" s="95" t="n">
        <x:f>E50</x:f>
        <x:v>64328.23670816005</x:v>
      </x:c>
      <x:c r="G52" s="95" t="n">
        <x:f>F50</x:f>
        <x:v>74492.37265811849</x:v>
      </x:c>
      <x:c r="H52" s="95" t="n">
        <x:f>G50</x:f>
        <x:v>82173.40473930819</x:v>
      </x:c>
      <x:c r="I52" s="95" t="n">
        <x:f>H50</x:f>
        <x:v>88453.9752212609</x:v>
      </x:c>
      <x:c r="J52" s="95" t="n">
        <x:f>I50</x:f>
        <x:v>93279.6476963473</x:v>
      </x:c>
      <x:c r="K52" s="95" t="n">
        <x:f>J50</x:f>
        <x:v>96439.13187693988</x:v>
      </x:c>
      <x:c r="L52" s="95" t="n">
        <x:f>K50</x:f>
        <x:v>716602.8217151983</x:v>
      </x:c>
    </x:row>
    <x:row r="53">
      <x:c r="A53" s="96" t="str">
        <x:v>التراكمي دون الأرض</x:v>
      </x:c>
      <x:c r="B53" s="95" t="n">
        <x:f>B51</x:f>
        <x:v>-239400</x:v>
      </x:c>
      <x:c r="C53" s="95" t="n">
        <x:f>B53+C51</x:f>
        <x:v>-248060.86000000002</x:v>
      </x:c>
      <x:c r="D53" s="95" t="n">
        <x:f>C53+D51</x:f>
        <x:v>-212662.3664</x:v>
      </x:c>
      <x:c r="E53" s="95" t="n">
        <x:f>D53+E51</x:f>
        <x:v>-160742.31945599994</x:v>
      </x:c>
      <x:c r="F53" s="95" t="n">
        <x:f>E53+F51</x:f>
        <x:v>-96414.08274783989</x:v>
      </x:c>
      <x:c r="G53" s="95" t="n">
        <x:f>F53+G51</x:f>
        <x:v>-21921.710089721397</x:v>
      </x:c>
      <x:c r="H53" s="95" t="n">
        <x:f>G53+H51</x:f>
        <x:v>60251.69464958679</x:v>
      </x:c>
      <x:c r="I53" s="95" t="n">
        <x:f>H53+I51</x:f>
        <x:v>148705.6698708477</x:v>
      </x:c>
      <x:c r="J53" s="95" t="n">
        <x:f>I53+J51</x:f>
        <x:v>241985.317567195</x:v>
      </x:c>
      <x:c r="K53" s="95" t="n">
        <x:f>J53+K51</x:f>
        <x:v>338424.44944413484</x:v>
      </x:c>
      <x:c r="L53" s="95" t="n">
        <x:f>K53+L51</x:f>
        <x:v>1055027.2711593332</x:v>
      </x:c>
    </x:row>
    <x:row r="54">
      <x:c r="A54" s="96" t="str">
        <x:v>التراكمي مع الأرض</x:v>
      </x:c>
      <x:c r="B54" s="95" t="n">
        <x:f>B52</x:f>
        <x:v>-1039400</x:v>
      </x:c>
      <x:c r="C54" s="95" t="n">
        <x:f>B54+C52</x:f>
        <x:v>-1048060.86</x:v>
      </x:c>
      <x:c r="D54" s="95" t="n">
        <x:f>C54+D52</x:f>
        <x:v>-1012662.3663999999</x:v>
      </x:c>
      <x:c r="E54" s="95" t="n">
        <x:f>D54+E52</x:f>
        <x:v>-960742.3194559999</x:v>
      </x:c>
      <x:c r="F54" s="95" t="n">
        <x:f>E54+F52</x:f>
        <x:v>-896414.0827478399</x:v>
      </x:c>
      <x:c r="G54" s="95" t="n">
        <x:f>F54+G52</x:f>
        <x:v>-821921.7100897214</x:v>
      </x:c>
      <x:c r="H54" s="95" t="n">
        <x:f>G54+H52</x:f>
        <x:v>-739748.3053504132</x:v>
      </x:c>
      <x:c r="I54" s="95" t="n">
        <x:f>H54+I52</x:f>
        <x:v>-651294.3301291523</x:v>
      </x:c>
      <x:c r="J54" s="95" t="n">
        <x:f>I54+J52</x:f>
        <x:v>-558014.682432805</x:v>
      </x:c>
      <x:c r="K54" s="95" t="n">
        <x:f>J54+K52</x:f>
        <x:v>-461575.55055586505</x:v>
      </x:c>
      <x:c r="L54" s="95" t="n">
        <x:f>K54+L52</x:f>
        <x:v>255027.2711593333</x:v>
      </x:c>
    </x:row>
  </x:sheetData>
  <x:mergeCells>
    <x:mergeCell ref="A1:L1"/>
  </x:mergeCells>
  <x:conditionalFormatting sqref="A17:F21">
    <x:cfRule type="expression" dxfId="1" priority="1">
      <x:formula>$C17&lt;0</x:formula>
    </x:cfRule>
  </x:conditionalFormatting>
  <x:pageMargins left="0.7" right="0.7" top="0.75" bottom="0.75" header="0.3" footer="0.3"/>
  <x:drawing xmlns:r="http://schemas.openxmlformats.org/officeDocument/2006/relationships" r:id="R081f8608be0a4890"/>
</x:worksheet>
</file>

<file path=xl/worksheets/sheet7.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18" hidden="0" customWidth="1"/>
    <x:col min="5" max="5" width="18" hidden="0" customWidth="1"/>
    <x:col min="6" max="6" width="17" hidden="0" customWidth="1"/>
    <x:col min="7" max="7" width="17" hidden="0" customWidth="1"/>
    <x:col min="8" max="8" width="16" hidden="0" customWidth="1"/>
    <x:col min="9" max="9" width="17" hidden="0" customWidth="1"/>
    <x:col min="10" max="10" width="20" hidden="0" customWidth="1"/>
  </x:cols>
  <x:sheetData>
    <x:row r="1">
      <x:c r="A1" s="29" t="str">
        <x:v>هيكل الموظفين وتكلفة العمالة - مدرسة ثانوية خاصة</x:v>
      </x:c>
      <x:c r="B1" s="29"/>
      <x:c r="C1" s="29"/>
      <x:c r="D1" s="29"/>
      <x:c r="E1" s="29"/>
      <x:c r="F1" s="29"/>
      <x:c r="G1" s="29"/>
      <x:c r="H1" s="29"/>
      <x:c r="I1" s="29"/>
      <x:c r="J1" s="29"/>
    </x:row>
    <x:row r="3">
      <x:c r="A3" s="19" t="str">
        <x:v>القسم</x:v>
      </x:c>
      <x:c r="B3" s="19" t="str">
        <x:v>المسمى الوظيفي</x:v>
      </x:c>
      <x:c r="C3" s="19" t="str">
        <x:v>العدد</x:v>
      </x:c>
      <x:c r="D3" s="19" t="str">
        <x:v>الراتب الشهري للفرد</x:v>
      </x:c>
      <x:c r="E3" s="19" t="str">
        <x:v>الراتب الشهري الإجمالي</x:v>
      </x:c>
      <x:c r="F3" s="19" t="str">
        <x:v>الراتب السنوي</x:v>
      </x:c>
      <x:c r="G3" s="19" t="str">
        <x:v>ضمان صاحب العمل</x:v>
      </x:c>
      <x:c r="H3" s="19" t="str">
        <x:v>تأمين/مزايا</x:v>
      </x:c>
      <x:c r="I3" s="19" t="str">
        <x:v>إضافي واستبدال</x:v>
      </x:c>
      <x:c r="J3" s="19" t="str">
        <x:v>الكلفة السنوية الكاملة</x:v>
      </x:c>
    </x:row>
    <x:row r="4">
      <x:c r="A4" t="str">
        <x:v>القيادة</x:v>
      </x:c>
      <x:c r="B4" t="str">
        <x:v>مدير مدرسة</x:v>
      </x:c>
      <x:c r="C4" s="71" t="n">
        <x:v>1</x:v>
      </x:c>
      <x:c r="D4" s="82" t="n">
        <x:v>2500</x:v>
      </x:c>
      <x:c r="E4" s="84" t="n">
        <x:f>C4*D4</x:f>
        <x:v>2500</x:v>
      </x:c>
      <x:c r="F4" s="84" t="n">
        <x:f>E4*12</x:f>
        <x:v>30000</x:v>
      </x:c>
      <x:c r="G4" s="84" t="n">
        <x:f>F4*'General Assumptions'!$B$8</x:f>
        <x:v>4275</x:v>
      </x:c>
      <x:c r="H4" s="84" t="n">
        <x:f>F4*'General Assumptions'!$B$13</x:f>
        <x:v>1350</x:v>
      </x:c>
      <x:c r="I4" s="84" t="n">
        <x:f>F4*IF(OR(A4="التشغيل",A4="المطبخ",A4="الخدمة",A4="خدمات",A4="نقل"),'General Assumptions'!$B$14,'General Assumptions'!$B$15)</x:f>
        <x:v>450</x:v>
      </x:c>
      <x:c r="J4" s="84" t="n">
        <x:f>SUM(F4:I4)</x:f>
        <x:v>36075</x:v>
      </x:c>
    </x:row>
    <x:row r="5">
      <x:c r="A5" t="str">
        <x:v>القيادة</x:v>
      </x:c>
      <x:c r="B5" t="str">
        <x:v>نائب مدير</x:v>
      </x:c>
      <x:c r="C5" s="71" t="n">
        <x:v>1</x:v>
      </x:c>
      <x:c r="D5" s="82" t="n">
        <x:v>1600</x:v>
      </x:c>
      <x:c r="E5" s="84" t="n">
        <x:f>C5*D5</x:f>
        <x:v>1600</x:v>
      </x:c>
      <x:c r="F5" s="84" t="n">
        <x:f>E5*12</x:f>
        <x:v>19200</x:v>
      </x:c>
      <x:c r="G5" s="84" t="n">
        <x:f>F5*'General Assumptions'!$B$8</x:f>
        <x:v>2735.9999999999995</x:v>
      </x:c>
      <x:c r="H5" s="84" t="n">
        <x:f>F5*'General Assumptions'!$B$13</x:f>
        <x:v>864</x:v>
      </x:c>
      <x:c r="I5" s="84" t="n">
        <x:f>F5*IF(OR(A5="التشغيل",A5="المطبخ",A5="الخدمة",A5="خدمات",A5="نقل"),'General Assumptions'!$B$14,'General Assumptions'!$B$15)</x:f>
        <x:v>288</x:v>
      </x:c>
      <x:c r="J5" s="84" t="n">
        <x:f>SUM(F5:I5)</x:f>
        <x:v>23088</x:v>
      </x:c>
    </x:row>
    <x:row r="6">
      <x:c r="A6" t="str">
        <x:v>أكاديمي</x:v>
      </x:c>
      <x:c r="B6" t="str">
        <x:v>منسق أكاديمي</x:v>
      </x:c>
      <x:c r="C6" s="71" t="n">
        <x:v>1</x:v>
      </x:c>
      <x:c r="D6" s="82" t="n">
        <x:v>1400</x:v>
      </x:c>
      <x:c r="E6" s="84" t="n">
        <x:f>C6*D6</x:f>
        <x:v>1400</x:v>
      </x:c>
      <x:c r="F6" s="84" t="n">
        <x:f>E6*12</x:f>
        <x:v>16800</x:v>
      </x:c>
      <x:c r="G6" s="84" t="n">
        <x:f>F6*'General Assumptions'!$B$8</x:f>
        <x:v>2394</x:v>
      </x:c>
      <x:c r="H6" s="84" t="n">
        <x:f>F6*'General Assumptions'!$B$13</x:f>
        <x:v>756</x:v>
      </x:c>
      <x:c r="I6" s="84" t="n">
        <x:f>F6*IF(OR(A6="التشغيل",A6="المطبخ",A6="الخدمة",A6="خدمات",A6="نقل"),'General Assumptions'!$B$14,'General Assumptions'!$B$15)</x:f>
        <x:v>252</x:v>
      </x:c>
      <x:c r="J6" s="84" t="n">
        <x:f>SUM(F6:I6)</x:f>
        <x:v>20202</x:v>
      </x:c>
    </x:row>
    <x:row r="7">
      <x:c r="A7" t="str">
        <x:v>أكاديمي</x:v>
      </x:c>
      <x:c r="B7" t="str">
        <x:v>معلم ثانوي</x:v>
      </x:c>
      <x:c r="C7" s="71" t="n">
        <x:v>20</x:v>
      </x:c>
      <x:c r="D7" s="82" t="n">
        <x:v>900</x:v>
      </x:c>
      <x:c r="E7" s="84" t="n">
        <x:f>C7*D7</x:f>
        <x:v>18000</x:v>
      </x:c>
      <x:c r="F7" s="84" t="n">
        <x:f>E7*12</x:f>
        <x:v>216000</x:v>
      </x:c>
      <x:c r="G7" s="84" t="n">
        <x:f>F7*'General Assumptions'!$B$8</x:f>
        <x:v>30779.999999999996</x:v>
      </x:c>
      <x:c r="H7" s="84" t="n">
        <x:f>F7*'General Assumptions'!$B$13</x:f>
        <x:v>9720</x:v>
      </x:c>
      <x:c r="I7" s="84" t="n">
        <x:f>F7*IF(OR(A7="التشغيل",A7="المطبخ",A7="الخدمة",A7="خدمات",A7="نقل"),'General Assumptions'!$B$14,'General Assumptions'!$B$15)</x:f>
        <x:v>3240</x:v>
      </x:c>
      <x:c r="J7" s="84" t="n">
        <x:f>SUM(F7:I7)</x:f>
        <x:v>259740</x:v>
      </x:c>
    </x:row>
    <x:row r="8">
      <x:c r="A8" t="str">
        <x:v>أكاديمي</x:v>
      </x:c>
      <x:c r="B8" t="str">
        <x:v>مرشد تربوي</x:v>
      </x:c>
      <x:c r="C8" s="71" t="n">
        <x:v>1</x:v>
      </x:c>
      <x:c r="D8" s="82" t="n">
        <x:v>800</x:v>
      </x:c>
      <x:c r="E8" s="84" t="n">
        <x:f>C8*D8</x:f>
        <x:v>800</x:v>
      </x:c>
      <x:c r="F8" s="84" t="n">
        <x:f>E8*12</x:f>
        <x:v>9600</x:v>
      </x:c>
      <x:c r="G8" s="84" t="n">
        <x:f>F8*'General Assumptions'!$B$8</x:f>
        <x:v>1367.9999999999998</x:v>
      </x:c>
      <x:c r="H8" s="84" t="n">
        <x:f>F8*'General Assumptions'!$B$13</x:f>
        <x:v>432</x:v>
      </x:c>
      <x:c r="I8" s="84" t="n">
        <x:f>F8*IF(OR(A8="التشغيل",A8="المطبخ",A8="الخدمة",A8="خدمات",A8="نقل"),'General Assumptions'!$B$14,'General Assumptions'!$B$15)</x:f>
        <x:v>144</x:v>
      </x:c>
      <x:c r="J8" s="84" t="n">
        <x:f>SUM(F8:I8)</x:f>
        <x:v>11544</x:v>
      </x:c>
    </x:row>
    <x:row r="9">
      <x:c r="A9" t="str">
        <x:v>صحي</x:v>
      </x:c>
      <x:c r="B9" t="str">
        <x:v>ممرض/ممرضة</x:v>
      </x:c>
      <x:c r="C9" s="71" t="n">
        <x:v>1</x:v>
      </x:c>
      <x:c r="D9" s="82" t="n">
        <x:v>650</x:v>
      </x:c>
      <x:c r="E9" s="84" t="n">
        <x:f>C9*D9</x:f>
        <x:v>650</x:v>
      </x:c>
      <x:c r="F9" s="84" t="n">
        <x:f>E9*12</x:f>
        <x:v>7800</x:v>
      </x:c>
      <x:c r="G9" s="84" t="n">
        <x:f>F9*'General Assumptions'!$B$8</x:f>
        <x:v>1111.5</x:v>
      </x:c>
      <x:c r="H9" s="84" t="n">
        <x:f>F9*'General Assumptions'!$B$13</x:f>
        <x:v>351</x:v>
      </x:c>
      <x:c r="I9" s="84" t="n">
        <x:f>F9*IF(OR(A9="التشغيل",A9="المطبخ",A9="الخدمة",A9="خدمات",A9="نقل"),'General Assumptions'!$B$14,'General Assumptions'!$B$15)</x:f>
        <x:v>117</x:v>
      </x:c>
      <x:c r="J9" s="84" t="n">
        <x:f>SUM(F9:I9)</x:f>
        <x:v>9379.5</x:v>
      </x:c>
    </x:row>
    <x:row r="10">
      <x:c r="A10" t="str">
        <x:v>إداري</x:v>
      </x:c>
      <x:c r="B10" t="str">
        <x:v>قبول وتسجيل وخدمة أولياء الأمور</x:v>
      </x:c>
      <x:c r="C10" s="71" t="n">
        <x:v>3</x:v>
      </x:c>
      <x:c r="D10" s="82" t="n">
        <x:v>550</x:v>
      </x:c>
      <x:c r="E10" s="84" t="n">
        <x:f>C10*D10</x:f>
        <x:v>1650</x:v>
      </x:c>
      <x:c r="F10" s="84" t="n">
        <x:f>E10*12</x:f>
        <x:v>19800</x:v>
      </x:c>
      <x:c r="G10" s="84" t="n">
        <x:f>F10*'General Assumptions'!$B$8</x:f>
        <x:v>2821.4999999999995</x:v>
      </x:c>
      <x:c r="H10" s="84" t="n">
        <x:f>F10*'General Assumptions'!$B$13</x:f>
        <x:v>891</x:v>
      </x:c>
      <x:c r="I10" s="84" t="n">
        <x:f>F10*IF(OR(A10="التشغيل",A10="المطبخ",A10="الخدمة",A10="خدمات",A10="نقل"),'General Assumptions'!$B$14,'General Assumptions'!$B$15)</x:f>
        <x:v>297</x:v>
      </x:c>
      <x:c r="J10" s="84" t="n">
        <x:f>SUM(F10:I10)</x:f>
        <x:v>23809.5</x:v>
      </x:c>
    </x:row>
    <x:row r="11">
      <x:c r="A11" t="str">
        <x:v>مالي</x:v>
      </x:c>
      <x:c r="B11" t="str">
        <x:v>مدير مالي/محاسب رئيسي</x:v>
      </x:c>
      <x:c r="C11" s="71" t="n">
        <x:v>1</x:v>
      </x:c>
      <x:c r="D11" s="82" t="n">
        <x:v>1000</x:v>
      </x:c>
      <x:c r="E11" s="84" t="n">
        <x:f>C11*D11</x:f>
        <x:v>1000</x:v>
      </x:c>
      <x:c r="F11" s="84" t="n">
        <x:f>E11*12</x:f>
        <x:v>12000</x:v>
      </x:c>
      <x:c r="G11" s="84" t="n">
        <x:f>F11*'General Assumptions'!$B$8</x:f>
        <x:v>1709.9999999999998</x:v>
      </x:c>
      <x:c r="H11" s="84" t="n">
        <x:f>F11*'General Assumptions'!$B$13</x:f>
        <x:v>540</x:v>
      </x:c>
      <x:c r="I11" s="84" t="n">
        <x:f>F11*IF(OR(A11="التشغيل",A11="المطبخ",A11="الخدمة",A11="خدمات",A11="نقل"),'General Assumptions'!$B$14,'General Assumptions'!$B$15)</x:f>
        <x:v>180</x:v>
      </x:c>
      <x:c r="J11" s="84" t="n">
        <x:f>SUM(F11:I11)</x:f>
        <x:v>14430</x:v>
      </x:c>
    </x:row>
    <x:row r="12">
      <x:c r="A12" t="str">
        <x:v>مالي</x:v>
      </x:c>
      <x:c r="B12" t="str">
        <x:v>محاسب/محصل</x:v>
      </x:c>
      <x:c r="C12" s="71" t="n">
        <x:v>1</x:v>
      </x:c>
      <x:c r="D12" s="82" t="n">
        <x:v>650</x:v>
      </x:c>
      <x:c r="E12" s="84" t="n">
        <x:f>C12*D12</x:f>
        <x:v>650</x:v>
      </x:c>
      <x:c r="F12" s="84" t="n">
        <x:f>E12*12</x:f>
        <x:v>7800</x:v>
      </x:c>
      <x:c r="G12" s="84" t="n">
        <x:f>F12*'General Assumptions'!$B$8</x:f>
        <x:v>1111.5</x:v>
      </x:c>
      <x:c r="H12" s="84" t="n">
        <x:f>F12*'General Assumptions'!$B$13</x:f>
        <x:v>351</x:v>
      </x:c>
      <x:c r="I12" s="84" t="n">
        <x:f>F12*IF(OR(A12="التشغيل",A12="المطبخ",A12="الخدمة",A12="خدمات",A12="نقل"),'General Assumptions'!$B$14,'General Assumptions'!$B$15)</x:f>
        <x:v>117</x:v>
      </x:c>
      <x:c r="J12" s="84" t="n">
        <x:f>SUM(F12:I12)</x:f>
        <x:v>9379.5</x:v>
      </x:c>
    </x:row>
    <x:row r="13">
      <x:c r="A13" t="str">
        <x:v>تقني</x:v>
      </x:c>
      <x:c r="B13" t="str">
        <x:v>مسؤول IT ونظام مدرسي</x:v>
      </x:c>
      <x:c r="C13" s="71" t="n">
        <x:v>1</x:v>
      </x:c>
      <x:c r="D13" s="82" t="n">
        <x:v>750</x:v>
      </x:c>
      <x:c r="E13" s="84" t="n">
        <x:f>C13*D13</x:f>
        <x:v>750</x:v>
      </x:c>
      <x:c r="F13" s="84" t="n">
        <x:f>E13*12</x:f>
        <x:v>9000</x:v>
      </x:c>
      <x:c r="G13" s="84" t="n">
        <x:f>F13*'General Assumptions'!$B$8</x:f>
        <x:v>1282.5</x:v>
      </x:c>
      <x:c r="H13" s="84" t="n">
        <x:f>F13*'General Assumptions'!$B$13</x:f>
        <x:v>405</x:v>
      </x:c>
      <x:c r="I13" s="84" t="n">
        <x:f>F13*IF(OR(A13="التشغيل",A13="المطبخ",A13="الخدمة",A13="خدمات",A13="نقل"),'General Assumptions'!$B$14,'General Assumptions'!$B$15)</x:f>
        <x:v>135</x:v>
      </x:c>
      <x:c r="J13" s="84" t="n">
        <x:f>SUM(F13:I13)</x:f>
        <x:v>10822.5</x:v>
      </x:c>
    </x:row>
    <x:row r="14">
      <x:c r="A14" t="str">
        <x:v>تعليمي</x:v>
      </x:c>
      <x:c r="B14" t="str">
        <x:v>أمين مكتبة</x:v>
      </x:c>
      <x:c r="C14" s="71" t="n">
        <x:v>1</x:v>
      </x:c>
      <x:c r="D14" s="82" t="n">
        <x:v>650</x:v>
      </x:c>
      <x:c r="E14" s="84" t="n">
        <x:f>C14*D14</x:f>
        <x:v>650</x:v>
      </x:c>
      <x:c r="F14" s="84" t="n">
        <x:f>E14*12</x:f>
        <x:v>7800</x:v>
      </x:c>
      <x:c r="G14" s="84" t="n">
        <x:f>F14*'General Assumptions'!$B$8</x:f>
        <x:v>1111.5</x:v>
      </x:c>
      <x:c r="H14" s="84" t="n">
        <x:f>F14*'General Assumptions'!$B$13</x:f>
        <x:v>351</x:v>
      </x:c>
      <x:c r="I14" s="84" t="n">
        <x:f>F14*IF(OR(A14="التشغيل",A14="المطبخ",A14="الخدمة",A14="خدمات",A14="نقل"),'General Assumptions'!$B$14,'General Assumptions'!$B$15)</x:f>
        <x:v>117</x:v>
      </x:c>
      <x:c r="J14" s="84" t="n">
        <x:f>SUM(F14:I14)</x:f>
        <x:v>9379.5</x:v>
      </x:c>
    </x:row>
    <x:row r="15">
      <x:c r="A15" t="str">
        <x:v>تعليمي</x:v>
      </x:c>
      <x:c r="B15" t="str">
        <x:v>فني مختبر</x:v>
      </x:c>
      <x:c r="C15" s="71" t="n">
        <x:v>2</x:v>
      </x:c>
      <x:c r="D15" s="82" t="n">
        <x:v>650</x:v>
      </x:c>
      <x:c r="E15" s="84" t="n">
        <x:f>C15*D15</x:f>
        <x:v>1300</x:v>
      </x:c>
      <x:c r="F15" s="84" t="n">
        <x:f>E15*12</x:f>
        <x:v>15600</x:v>
      </x:c>
      <x:c r="G15" s="84" t="n">
        <x:f>F15*'General Assumptions'!$B$8</x:f>
        <x:v>2223</x:v>
      </x:c>
      <x:c r="H15" s="84" t="n">
        <x:f>F15*'General Assumptions'!$B$13</x:f>
        <x:v>702</x:v>
      </x:c>
      <x:c r="I15" s="84" t="n">
        <x:f>F15*IF(OR(A15="التشغيل",A15="المطبخ",A15="الخدمة",A15="خدمات",A15="نقل"),'General Assumptions'!$B$14,'General Assumptions'!$B$15)</x:f>
        <x:v>234</x:v>
      </x:c>
      <x:c r="J15" s="84" t="n">
        <x:f>SUM(F15:I15)</x:f>
        <x:v>18759</x:v>
      </x:c>
    </x:row>
    <x:row r="16">
      <x:c r="A16" t="str">
        <x:v>إشراف</x:v>
      </x:c>
      <x:c r="B16" t="str">
        <x:v>مشرف طلاب</x:v>
      </x:c>
      <x:c r="C16" s="71" t="n">
        <x:v>4</x:v>
      </x:c>
      <x:c r="D16" s="82" t="n">
        <x:v>450</x:v>
      </x:c>
      <x:c r="E16" s="84" t="n">
        <x:f>C16*D16</x:f>
        <x:v>1800</x:v>
      </x:c>
      <x:c r="F16" s="84" t="n">
        <x:f>E16*12</x:f>
        <x:v>21600</x:v>
      </x:c>
      <x:c r="G16" s="84" t="n">
        <x:f>F16*'General Assumptions'!$B$8</x:f>
        <x:v>3077.9999999999995</x:v>
      </x:c>
      <x:c r="H16" s="84" t="n">
        <x:f>F16*'General Assumptions'!$B$13</x:f>
        <x:v>972</x:v>
      </x:c>
      <x:c r="I16" s="84" t="n">
        <x:f>F16*IF(OR(A16="التشغيل",A16="المطبخ",A16="الخدمة",A16="خدمات",A16="نقل"),'General Assumptions'!$B$14,'General Assumptions'!$B$15)</x:f>
        <x:v>324</x:v>
      </x:c>
      <x:c r="J16" s="84" t="n">
        <x:f>SUM(F16:I16)</x:f>
        <x:v>25974</x:v>
      </x:c>
    </x:row>
    <x:row r="17">
      <x:c r="A17" t="str">
        <x:v>خدمات</x:v>
      </x:c>
      <x:c r="B17" t="str">
        <x:v>صيانة ومرافق</x:v>
      </x:c>
      <x:c r="C17" s="71" t="n">
        <x:v>3</x:v>
      </x:c>
      <x:c r="D17" s="82" t="n">
        <x:v>400</x:v>
      </x:c>
      <x:c r="E17" s="84" t="n">
        <x:f>C17*D17</x:f>
        <x:v>1200</x:v>
      </x:c>
      <x:c r="F17" s="84" t="n">
        <x:f>E17*12</x:f>
        <x:v>14400</x:v>
      </x:c>
      <x:c r="G17" s="84" t="n">
        <x:f>F17*'General Assumptions'!$B$8</x:f>
        <x:v>2052</x:v>
      </x:c>
      <x:c r="H17" s="84" t="n">
        <x:f>F17*'General Assumptions'!$B$13</x:f>
        <x:v>648</x:v>
      </x:c>
      <x:c r="I17" s="84" t="n">
        <x:f>F17*IF(OR(A17="التشغيل",A17="المطبخ",A17="الخدمة",A17="خدمات",A17="نقل"),'General Assumptions'!$B$14,'General Assumptions'!$B$15)</x:f>
        <x:v>504.00000000000006</x:v>
      </x:c>
      <x:c r="J17" s="84" t="n">
        <x:f>SUM(F17:I17)</x:f>
        <x:v>17604</x:v>
      </x:c>
    </x:row>
    <x:row r="18">
      <x:c r="A18" t="str">
        <x:v>خدمات</x:v>
      </x:c>
      <x:c r="B18" t="str">
        <x:v>حارس أمن</x:v>
      </x:c>
      <x:c r="C18" s="71" t="n">
        <x:v>3</x:v>
      </x:c>
      <x:c r="D18" s="82" t="n">
        <x:v>350</x:v>
      </x:c>
      <x:c r="E18" s="84" t="n">
        <x:f>C18*D18</x:f>
        <x:v>1050</x:v>
      </x:c>
      <x:c r="F18" s="84" t="n">
        <x:f>E18*12</x:f>
        <x:v>12600</x:v>
      </x:c>
      <x:c r="G18" s="84" t="n">
        <x:f>F18*'General Assumptions'!$B$8</x:f>
        <x:v>1795.4999999999998</x:v>
      </x:c>
      <x:c r="H18" s="84" t="n">
        <x:f>F18*'General Assumptions'!$B$13</x:f>
        <x:v>567</x:v>
      </x:c>
      <x:c r="I18" s="84" t="n">
        <x:f>F18*IF(OR(A18="التشغيل",A18="المطبخ",A18="الخدمة",A18="خدمات",A18="نقل"),'General Assumptions'!$B$14,'General Assumptions'!$B$15)</x:f>
        <x:v>441.00000000000006</x:v>
      </x:c>
      <x:c r="J18" s="84" t="n">
        <x:f>SUM(F18:I18)</x:f>
        <x:v>15403.5</x:v>
      </x:c>
    </x:row>
    <x:row r="19">
      <x:c r="A19" t="str">
        <x:v>خدمات</x:v>
      </x:c>
      <x:c r="B19" t="str">
        <x:v>عامل نظافة</x:v>
      </x:c>
      <x:c r="C19" s="71" t="n">
        <x:v>5</x:v>
      </x:c>
      <x:c r="D19" s="82" t="n">
        <x:v>320</x:v>
      </x:c>
      <x:c r="E19" s="84" t="n">
        <x:f>C19*D19</x:f>
        <x:v>1600</x:v>
      </x:c>
      <x:c r="F19" s="84" t="n">
        <x:f>E19*12</x:f>
        <x:v>19200</x:v>
      </x:c>
      <x:c r="G19" s="84" t="n">
        <x:f>F19*'General Assumptions'!$B$8</x:f>
        <x:v>2735.9999999999995</x:v>
      </x:c>
      <x:c r="H19" s="84" t="n">
        <x:f>F19*'General Assumptions'!$B$13</x:f>
        <x:v>864</x:v>
      </x:c>
      <x:c r="I19" s="84" t="n">
        <x:f>F19*IF(OR(A19="التشغيل",A19="المطبخ",A19="الخدمة",A19="خدمات",A19="نقل"),'General Assumptions'!$B$14,'General Assumptions'!$B$15)</x:f>
        <x:v>672.0000000000001</x:v>
      </x:c>
      <x:c r="J19" s="84" t="n">
        <x:f>SUM(F19:I19)</x:f>
        <x:v>23472</x:v>
      </x:c>
    </x:row>
    <x:row r="20">
      <x:c r="A20" t="str">
        <x:v>نقل</x:v>
      </x:c>
      <x:c r="B20" t="str">
        <x:v>سائق حافلة</x:v>
      </x:c>
      <x:c r="C20" s="71" t="n">
        <x:v>4</x:v>
      </x:c>
      <x:c r="D20" s="82" t="n">
        <x:v>500</x:v>
      </x:c>
      <x:c r="E20" s="84" t="n">
        <x:f>C20*D20</x:f>
        <x:v>2000</x:v>
      </x:c>
      <x:c r="F20" s="84" t="n">
        <x:f>E20*12</x:f>
        <x:v>24000</x:v>
      </x:c>
      <x:c r="G20" s="84" t="n">
        <x:f>F20*'General Assumptions'!$B$8</x:f>
        <x:v>3419.9999999999995</x:v>
      </x:c>
      <x:c r="H20" s="84" t="n">
        <x:f>F20*'General Assumptions'!$B$13</x:f>
        <x:v>1080</x:v>
      </x:c>
      <x:c r="I20" s="84" t="n">
        <x:f>F20*IF(OR(A20="التشغيل",A20="المطبخ",A20="الخدمة",A20="خدمات",A20="نقل"),'General Assumptions'!$B$14,'General Assumptions'!$B$15)</x:f>
        <x:v>840.0000000000001</x:v>
      </x:c>
      <x:c r="J20" s="84" t="n">
        <x:f>SUM(F20:I20)</x:f>
        <x:v>29340</x:v>
      </x:c>
    </x:row>
    <x:row r="21">
      <x:c r="A21" t="str">
        <x:v>نقل</x:v>
      </x:c>
      <x:c r="B21" t="str">
        <x:v>مرافقة حافلة</x:v>
      </x:c>
      <x:c r="C21" s="71" t="n">
        <x:v>4</x:v>
      </x:c>
      <x:c r="D21" s="82" t="n">
        <x:v>350</x:v>
      </x:c>
      <x:c r="E21" s="84" t="n">
        <x:f>C21*D21</x:f>
        <x:v>1400</x:v>
      </x:c>
      <x:c r="F21" s="84" t="n">
        <x:f>E21*12</x:f>
        <x:v>16800</x:v>
      </x:c>
      <x:c r="G21" s="84" t="n">
        <x:f>F21*'General Assumptions'!$B$8</x:f>
        <x:v>2394</x:v>
      </x:c>
      <x:c r="H21" s="84" t="n">
        <x:f>F21*'General Assumptions'!$B$13</x:f>
        <x:v>756</x:v>
      </x:c>
      <x:c r="I21" s="84" t="n">
        <x:f>F21*IF(OR(A21="التشغيل",A21="المطبخ",A21="الخدمة",A21="خدمات",A21="نقل"),'General Assumptions'!$B$14,'General Assumptions'!$B$15)</x:f>
        <x:v>588</x:v>
      </x:c>
      <x:c r="J21" s="84" t="n">
        <x:f>SUM(F21:I21)</x:f>
        <x:v>20538</x:v>
      </x:c>
    </x:row>
    <x:row r="22">
      <x:c r="A22" s="52" t="str">
        <x:v>إجمالي تكلفة العمالة السنوية</x:v>
      </x:c>
      <x:c r="B22" s="52"/>
      <x:c r="C22" s="52"/>
      <x:c r="D22" s="52"/>
      <x:c r="E22" s="52"/>
      <x:c r="F22" s="52"/>
      <x:c r="G22" s="52"/>
      <x:c r="H22" s="52"/>
      <x:c r="I22" s="52"/>
      <x:c r="J22" s="85" t="n">
        <x:f>SUM(J4:J21)</x:f>
        <x:v>578940</x:v>
      </x:c>
    </x:row>
    <x:row r="24">
      <x:c r="A24" s="57" t="str">
        <x:v>ملاحظة: الكلفة الكاملة تشمل الراتب الأساسي، حصة صاحب العمل في الضمان، مخصص التأمين والمزايا، والعمل الإضافي أو الاستبدال. لا تشمل الإكراميات أو عمولات اختيارية غير مضمونة.</x:v>
      </x:c>
      <x:c r="B24" s="57"/>
      <x:c r="C24" s="57"/>
      <x:c r="D24" s="57"/>
      <x:c r="E24" s="57"/>
      <x:c r="F24" s="57"/>
      <x:c r="G24" s="57"/>
      <x:c r="H24" s="57"/>
      <x:c r="I24" s="57"/>
      <x:c r="J24" s="57"/>
    </x:row>
    <x:row r="25">
      <x:c r="A25" s="57"/>
      <x:c r="B25" s="57"/>
      <x:c r="C25" s="57"/>
      <x:c r="D25" s="57"/>
      <x:c r="E25" s="57"/>
      <x:c r="F25" s="57"/>
      <x:c r="G25" s="57"/>
      <x:c r="H25" s="57"/>
      <x:c r="I25" s="57"/>
      <x:c r="J25" s="57"/>
    </x:row>
    <x:row r="26">
      <x:c r="A26" s="57"/>
      <x:c r="B26" s="57"/>
      <x:c r="C26" s="57"/>
      <x:c r="D26" s="57"/>
      <x:c r="E26" s="57"/>
      <x:c r="F26" s="57"/>
      <x:c r="G26" s="57"/>
      <x:c r="H26" s="57"/>
      <x:c r="I26" s="57"/>
      <x:c r="J26" s="57"/>
    </x:row>
  </x:sheetData>
  <x:mergeCells>
    <x:mergeCell ref="A1:J1"/>
    <x:mergeCell ref="A22:I22"/>
    <x:mergeCell ref="A24:J26"/>
  </x:mergeCells>
  <x:dataValidations count="2">
    <x:dataValidation operator="between" sqref="C4:C21">
      <x:formula1>0</x:formula1>
      <x:formula2>200</x:formula2>
    </x:dataValidation>
    <x:dataValidation type="decimal" operator="between" sqref="D4:D21">
      <x:formula1>0</x:formula1>
      <x:formula2>10000</x:formula2>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38" hidden="0" customWidth="1"/>
    <x:col min="2" max="2" width="18" hidden="0" customWidth="1"/>
    <x:col min="3" max="3" width="16" hidden="0" customWidth="1"/>
    <x:col min="4" max="4" width="20" hidden="0" customWidth="1"/>
    <x:col min="5" max="5" width="38" hidden="0" customWidth="1"/>
  </x:cols>
  <x:sheetData>
    <x:row r="1">
      <x:c r="A1" s="29" t="str">
        <x:v>الاستثمار الأولي - مدرسة ثانوية خاصة</x:v>
      </x:c>
      <x:c r="B1" s="29"/>
      <x:c r="C1" s="29"/>
      <x:c r="D1" s="29"/>
      <x:c r="E1" s="29"/>
    </x:row>
    <x:row r="3">
      <x:c r="A3" s="19" t="str">
        <x:v>البند</x:v>
      </x:c>
      <x:c r="B3" s="19" t="str">
        <x:v>القيمة JOD</x:v>
      </x:c>
      <x:c r="C3" s="19" t="str">
        <x:v>% من الإجمالي</x:v>
      </x:c>
      <x:c r="D3" s="19" t="str">
        <x:v>طبيعة البند</x:v>
      </x:c>
      <x:c r="E3" s="19" t="str">
        <x:v>قرار/ملاحظة</x:v>
      </x:c>
    </x:row>
    <x:row r="4">
      <x:c r="A4" t="str">
        <x:v>دراسات قانونية وتعليمية وتصميم</x:v>
      </x:c>
      <x:c r="B4" s="82" t="n">
        <x:v>115000</x:v>
      </x:c>
      <x:c r="C4" s="86" t="n">
        <x:f>IFERROR(B4/$B$19,0)</x:f>
        <x:v>0.03993055555555555</x:v>
      </x:c>
      <x:c r="D4" t="str">
        <x:v>استثماري</x:v>
      </x:c>
      <x:c r="E4" t="str"/>
    </x:row>
    <x:row r="5">
      <x:c r="A5" t="str">
        <x:v>أعمال إنشائية وهيكل</x:v>
      </x:c>
      <x:c r="B5" s="82" t="n">
        <x:v>1120000</x:v>
      </x:c>
      <x:c r="C5" s="86" t="n">
        <x:f>IFERROR(B5/$B$19,0)</x:f>
        <x:v>0.3888888888888889</x:v>
      </x:c>
      <x:c r="D5" t="str">
        <x:v>استثماري</x:v>
      </x:c>
      <x:c r="E5" t="str"/>
    </x:row>
    <x:row r="6">
      <x:c r="A6" t="str">
        <x:v>تشطيبات تعليمية</x:v>
      </x:c>
      <x:c r="B6" s="82" t="n">
        <x:v>310000</x:v>
      </x:c>
      <x:c r="C6" s="86" t="n">
        <x:f>IFERROR(B6/$B$19,0)</x:f>
        <x:v>0.1076388888888889</x:v>
      </x:c>
      <x:c r="D6" t="str">
        <x:v>استثماري</x:v>
      </x:c>
      <x:c r="E6" t="str"/>
    </x:row>
    <x:row r="7">
      <x:c r="A7" t="str">
        <x:v>مختبرات علوم وحاسوب</x:v>
      </x:c>
      <x:c r="B7" s="82" t="n">
        <x:v>155000</x:v>
      </x:c>
      <x:c r="C7" s="86" t="n">
        <x:f>IFERROR(B7/$B$19,0)</x:f>
        <x:v>0.05381944444444445</x:v>
      </x:c>
      <x:c r="D7" t="str">
        <x:v>استثماري</x:v>
      </x:c>
      <x:c r="E7" t="str"/>
    </x:row>
    <x:row r="8">
      <x:c r="A8" t="str">
        <x:v>أثاث صفوف وإدارة</x:v>
      </x:c>
      <x:c r="B8" s="82" t="n">
        <x:v>145000</x:v>
      </x:c>
      <x:c r="C8" s="86" t="n">
        <x:f>IFERROR(B8/$B$19,0)</x:f>
        <x:v>0.050347222222222224</x:v>
      </x:c>
      <x:c r="D8" t="str">
        <x:v>استثماري</x:v>
      </x:c>
      <x:c r="E8" t="str"/>
    </x:row>
    <x:row r="9">
      <x:c r="A9" t="str">
        <x:v>أنظمة تكييف وتهوية</x:v>
      </x:c>
      <x:c r="B9" s="82" t="n">
        <x:v>110000</x:v>
      </x:c>
      <x:c r="C9" s="86" t="n">
        <x:f>IFERROR(B9/$B$19,0)</x:f>
        <x:v>0.03819444444444445</x:v>
      </x:c>
      <x:c r="D9" t="str">
        <x:v>استثماري</x:v>
      </x:c>
      <x:c r="E9" t="str"/>
    </x:row>
    <x:row r="10">
      <x:c r="A10" t="str">
        <x:v>كهرباء وسباكة ومصاعد</x:v>
      </x:c>
      <x:c r="B10" s="82" t="n">
        <x:v>125000</x:v>
      </x:c>
      <x:c r="C10" s="86" t="n">
        <x:f>IFERROR(B10/$B$19,0)</x:f>
        <x:v>0.043402777777777776</x:v>
      </x:c>
      <x:c r="D10" t="str">
        <x:v>استثماري</x:v>
      </x:c>
      <x:c r="E10" t="str"/>
    </x:row>
    <x:row r="11">
      <x:c r="A11" t="str">
        <x:v>سلامة وإطفاء ومخارج</x:v>
      </x:c>
      <x:c r="B11" s="82" t="n">
        <x:v>58000</x:v>
      </x:c>
      <x:c r="C11" s="86" t="n">
        <x:f>IFERROR(B11/$B$19,0)</x:f>
        <x:v>0.02013888888888889</x:v>
      </x:c>
      <x:c r="D11" t="str">
        <x:v>استثماري</x:v>
      </x:c>
      <x:c r="E11" t="str"/>
    </x:row>
    <x:row r="12">
      <x:c r="A12" t="str">
        <x:v>أنظمة مدرسة وIT وكاميرات</x:v>
      </x:c>
      <x:c r="B12" s="82" t="n">
        <x:v>45000</x:v>
      </x:c>
      <x:c r="C12" s="86" t="n">
        <x:f>IFERROR(B12/$B$19,0)</x:f>
        <x:v>0.015625</x:v>
      </x:c>
      <x:c r="D12" t="str">
        <x:v>استثماري</x:v>
      </x:c>
      <x:c r="E12" t="str"/>
    </x:row>
    <x:row r="13">
      <x:c r="A13" t="str">
        <x:v>مكتبة ووسائل تعليمية</x:v>
      </x:c>
      <x:c r="B13" s="82" t="n">
        <x:v>42000</x:v>
      </x:c>
      <x:c r="C13" s="86" t="n">
        <x:f>IFERROR(B13/$B$19,0)</x:f>
        <x:v>0.014583333333333334</x:v>
      </x:c>
      <x:c r="D13" t="str">
        <x:v>استثماري</x:v>
      </x:c>
      <x:c r="E13" t="str"/>
    </x:row>
    <x:row r="14">
      <x:c r="A14" t="str">
        <x:v>ساحات وأعمال خارجية</x:v>
      </x:c>
      <x:c r="B14" s="82" t="n">
        <x:v>65000</x:v>
      </x:c>
      <x:c r="C14" s="86" t="n">
        <x:f>IFERROR(B14/$B$19,0)</x:f>
        <x:v>0.022569444444444444</x:v>
      </x:c>
      <x:c r="D14" t="str">
        <x:v>استثماري</x:v>
      </x:c>
      <x:c r="E14" t="str"/>
    </x:row>
    <x:row r="15">
      <x:c r="A15" t="str">
        <x:v>حافلات مدرسية أولية</x:v>
      </x:c>
      <x:c r="B15" s="82" t="n">
        <x:v>210000</x:v>
      </x:c>
      <x:c r="C15" s="86" t="n">
        <x:f>IFERROR(B15/$B$19,0)</x:f>
        <x:v>0.07291666666666667</x:v>
      </x:c>
      <x:c r="D15" t="str">
        <x:v>استثماري</x:v>
      </x:c>
      <x:c r="E15" t="str"/>
    </x:row>
    <x:row r="16">
      <x:c r="A16" t="str">
        <x:v>تسويق وتوظيف قبل الافتتاح</x:v>
      </x:c>
      <x:c r="B16" s="82" t="n">
        <x:v>45000</x:v>
      </x:c>
      <x:c r="C16" s="86" t="n">
        <x:f>IFERROR(B16/$B$19,0)</x:f>
        <x:v>0.015625</x:v>
      </x:c>
      <x:c r="D16" t="str">
        <x:v>استثماري</x:v>
      </x:c>
      <x:c r="E16" t="str"/>
    </x:row>
    <x:row r="17">
      <x:c r="A17" t="str">
        <x:v>رأس مال عامل افتتاحي</x:v>
      </x:c>
      <x:c r="B17" s="82" t="n">
        <x:v>165000</x:v>
      </x:c>
      <x:c r="C17" s="86" t="n">
        <x:f>IFERROR(B17/$B$19,0)</x:f>
        <x:v>0.057291666666666664</x:v>
      </x:c>
      <x:c r="D17" t="str">
        <x:v>تشغيلي افتتاحي</x:v>
      </x:c>
      <x:c r="E17" t="str"/>
    </x:row>
    <x:row r="18">
      <x:c r="A18" t="str">
        <x:v>احتياطي تجاوز تكاليف</x:v>
      </x:c>
      <x:c r="B18" s="82" t="n">
        <x:v>170000</x:v>
      </x:c>
      <x:c r="C18" s="86" t="n">
        <x:f>IFERROR(B18/$B$19,0)</x:f>
        <x:v>0.059027777777777776</x:v>
      </x:c>
      <x:c r="D18" t="str">
        <x:v>استثماري</x:v>
      </x:c>
      <x:c r="E18" t="str"/>
    </x:row>
    <x:row r="19">
      <x:c r="A19" s="52" t="str">
        <x:v>الإجمالي دون الأرض</x:v>
      </x:c>
      <x:c r="B19" s="54" t="n">
        <x:f>SUM(B4:B18)</x:f>
        <x:v>2880000</x:v>
      </x:c>
      <x:c r="C19" s="52"/>
      <x:c r="D19" s="52"/>
      <x:c r="E19" s="52"/>
    </x:row>
    <x:row r="20">
      <x:c r="A20" t="str">
        <x:v>القيمة الاقتصادية للأرض</x:v>
      </x:c>
      <x:c r="B20" s="87" t="n">
        <x:f>'General Assumptions'!$B$4</x:f>
        <x:v>800000</x:v>
      </x:c>
    </x:row>
    <x:row r="21">
      <x:c r="A21" s="16" t="str">
        <x:v>إجمالي رأس المال الاقتصادي</x:v>
      </x:c>
      <x:c r="B21" s="88" t="n">
        <x:f>SUM(B19:B20)</x:f>
        <x:v>3680000</x:v>
      </x:c>
      <x:c r="C21" s="16"/>
      <x:c r="D21" s="16"/>
      <x:c r="E21" s="16"/>
    </x:row>
  </x:sheetData>
  <x:mergeCells>
    <x:mergeCell ref="A1:E1"/>
  </x:mergeCells>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17" hidden="0" customWidth="1"/>
    <x:col min="3" max="3" width="17" hidden="0" customWidth="1"/>
    <x:col min="4" max="4" width="24" hidden="0" customWidth="1"/>
    <x:col min="5" max="5" width="16" hidden="0" customWidth="1"/>
    <x:col min="6" max="6" width="34" hidden="0" customWidth="1"/>
  </x:cols>
  <x:sheetData>
    <x:row r="1">
      <x:c r="A1" s="29" t="str">
        <x:v>المصروفات التشغيلية - مدرسة ثانوية خاصة</x:v>
      </x:c>
      <x:c r="B1" s="29"/>
      <x:c r="C1" s="29"/>
      <x:c r="D1" s="29"/>
      <x:c r="E1" s="29"/>
      <x:c r="F1" s="29"/>
    </x:row>
    <x:row r="3">
      <x:c r="A3" s="19" t="str">
        <x:v>البند</x:v>
      </x:c>
      <x:c r="B3" s="19" t="str">
        <x:v>شهري JOD</x:v>
      </x:c>
      <x:c r="C3" s="19" t="str">
        <x:v>سنوي JOD</x:v>
      </x:c>
      <x:c r="D3" s="19" t="str">
        <x:v>محرك التكلفة</x:v>
      </x:c>
      <x:c r="E3" s="19" t="str">
        <x:v>ثابت/متغير</x:v>
      </x:c>
      <x:c r="F3" s="19" t="str">
        <x:v>ملاحظة</x:v>
      </x:c>
    </x:row>
    <x:row r="4">
      <x:c r="A4" t="str">
        <x:v>كهرباء ومياه ووقود</x:v>
      </x:c>
      <x:c r="B4" s="84" t="n">
        <x:f>C4/12</x:f>
        <x:v>6500</x:v>
      </x:c>
      <x:c r="C4" s="82" t="n">
        <x:v>78000</x:v>
      </x:c>
      <x:c r="D4" t="str">
        <x:v>التضخم/الاستخدام</x:v>
      </x:c>
      <x:c r="E4" t="str">
        <x:v>شبه ثابت</x:v>
      </x:c>
      <x:c r="F4" t="str"/>
    </x:row>
    <x:row r="5">
      <x:c r="A5" t="str">
        <x:v>صيانة المبنى والمختبرات</x:v>
      </x:c>
      <x:c r="B5" s="84" t="n">
        <x:f>C5/12</x:f>
        <x:v>3500</x:v>
      </x:c>
      <x:c r="C5" s="82" t="n">
        <x:v>42000</x:v>
      </x:c>
      <x:c r="D5" t="str">
        <x:v>التضخم/الاستخدام</x:v>
      </x:c>
      <x:c r="E5" t="str">
        <x:v>شبه ثابت</x:v>
      </x:c>
      <x:c r="F5" t="str"/>
    </x:row>
    <x:row r="6">
      <x:c r="A6" t="str">
        <x:v>تسويق وقبول</x:v>
      </x:c>
      <x:c r="B6" s="84" t="n">
        <x:f>C6/12</x:f>
        <x:v>4000</x:v>
      </x:c>
      <x:c r="C6" s="82" t="n">
        <x:v>48000</x:v>
      </x:c>
      <x:c r="D6" t="str">
        <x:v>التضخم/الاستخدام</x:v>
      </x:c>
      <x:c r="E6" t="str">
        <x:v>شبه ثابت</x:v>
      </x:c>
      <x:c r="F6" t="str"/>
    </x:row>
    <x:row r="7">
      <x:c r="A7" t="str">
        <x:v>تأمينات</x:v>
      </x:c>
      <x:c r="B7" s="84" t="n">
        <x:f>C7/12</x:f>
        <x:v>1833.3333333333333</x:v>
      </x:c>
      <x:c r="C7" s="82" t="n">
        <x:v>22000</x:v>
      </x:c>
      <x:c r="D7" t="str">
        <x:v>التضخم/الاستخدام</x:v>
      </x:c>
      <x:c r="E7" t="str">
        <x:v>شبه ثابت</x:v>
      </x:c>
      <x:c r="F7" t="str"/>
    </x:row>
    <x:row r="8">
      <x:c r="A8" t="str">
        <x:v>مواد تعليمية وقرطاسية</x:v>
      </x:c>
      <x:c r="B8" s="84" t="n">
        <x:f>C8/12</x:f>
        <x:v>4583.333333333333</x:v>
      </x:c>
      <x:c r="C8" s="82" t="n">
        <x:v>55000</x:v>
      </x:c>
      <x:c r="D8" t="str">
        <x:v>التضخم/الاستخدام</x:v>
      </x:c>
      <x:c r="E8" t="str">
        <x:v>شبه ثابت</x:v>
      </x:c>
      <x:c r="F8" t="str"/>
    </x:row>
    <x:row r="9">
      <x:c r="A9" t="str">
        <x:v>أنظمة وبرمجيات وإنترنت</x:v>
      </x:c>
      <x:c r="B9" s="84" t="n">
        <x:f>C9/12</x:f>
        <x:v>1500</x:v>
      </x:c>
      <x:c r="C9" s="82" t="n">
        <x:v>18000</x:v>
      </x:c>
      <x:c r="D9" t="str">
        <x:v>التضخم/الاستخدام</x:v>
      </x:c>
      <x:c r="E9" t="str">
        <x:v>شبه ثابت</x:v>
      </x:c>
      <x:c r="F9" t="str"/>
    </x:row>
    <x:row r="10">
      <x:c r="A10" t="str">
        <x:v>تدريب واعتماد أكاديمي</x:v>
      </x:c>
      <x:c r="B10" s="84" t="n">
        <x:f>C10/12</x:f>
        <x:v>1833.3333333333333</x:v>
      </x:c>
      <x:c r="C10" s="82" t="n">
        <x:v>22000</x:v>
      </x:c>
      <x:c r="D10" t="str">
        <x:v>التضخم/الاستخدام</x:v>
      </x:c>
      <x:c r="E10" t="str">
        <x:v>شبه ثابت</x:v>
      </x:c>
      <x:c r="F10" t="str"/>
    </x:row>
    <x:row r="11">
      <x:c r="A11" t="str">
        <x:v>نقل وصيانة حافلات</x:v>
      </x:c>
      <x:c r="B11" s="84" t="n">
        <x:f>C11/12</x:f>
        <x:v>6000</x:v>
      </x:c>
      <x:c r="C11" s="82" t="n">
        <x:v>72000</x:v>
      </x:c>
      <x:c r="D11" t="str">
        <x:v>التضخم/الاستخدام</x:v>
      </x:c>
      <x:c r="E11" t="str">
        <x:v>شبه ثابت</x:v>
      </x:c>
      <x:c r="F11" t="str"/>
    </x:row>
    <x:row r="12">
      <x:c r="A12" t="str">
        <x:v>أمن ونظافة إضافية</x:v>
      </x:c>
      <x:c r="B12" s="84" t="n">
        <x:f>C12/12</x:f>
        <x:v>1666.6666666666667</x:v>
      </x:c>
      <x:c r="C12" s="82" t="n">
        <x:v>20000</x:v>
      </x:c>
      <x:c r="D12" t="str">
        <x:v>التضخم/الاستخدام</x:v>
      </x:c>
      <x:c r="E12" t="str">
        <x:v>شبه ثابت</x:v>
      </x:c>
      <x:c r="F12" t="str"/>
    </x:row>
    <x:row r="13">
      <x:c r="A13" t="str">
        <x:v>خدمات قانونية وتدقيق</x:v>
      </x:c>
      <x:c r="B13" s="84" t="n">
        <x:f>C13/12</x:f>
        <x:v>1250</x:v>
      </x:c>
      <x:c r="C13" s="82" t="n">
        <x:v>15000</x:v>
      </x:c>
      <x:c r="D13" t="str">
        <x:v>التضخم/الاستخدام</x:v>
      </x:c>
      <x:c r="E13" t="str">
        <x:v>شبه ثابت</x:v>
      </x:c>
      <x:c r="F13" t="str"/>
    </x:row>
    <x:row r="14">
      <x:c r="A14" t="str">
        <x:v>أنشطة وفعاليات</x:v>
      </x:c>
      <x:c r="B14" s="84" t="n">
        <x:f>C14/12</x:f>
        <x:v>3000</x:v>
      </x:c>
      <x:c r="C14" s="82" t="n">
        <x:v>36000</x:v>
      </x:c>
      <x:c r="D14" t="str">
        <x:v>التضخم/الاستخدام</x:v>
      </x:c>
      <x:c r="E14" t="str">
        <x:v>شبه ثابت</x:v>
      </x:c>
      <x:c r="F14" t="str"/>
    </x:row>
    <x:row r="15">
      <x:c r="A15" t="str">
        <x:v>احتياطي تشغيلي</x:v>
      </x:c>
      <x:c r="B15" s="84" t="n">
        <x:f>C15/12</x:f>
        <x:v>2500</x:v>
      </x:c>
      <x:c r="C15" s="82" t="n">
        <x:v>30000</x:v>
      </x:c>
      <x:c r="D15" t="str">
        <x:v>التضخم/الاستخدام</x:v>
      </x:c>
      <x:c r="E15" t="str">
        <x:v>شبه ثابت</x:v>
      </x:c>
      <x:c r="F15" t="str"/>
    </x:row>
    <x:row r="16">
      <x:c r="A16" s="52" t="str">
        <x:v>إجمالي غير العمالة</x:v>
      </x:c>
      <x:c r="B16" s="54"/>
      <x:c r="C16" s="54" t="n">
        <x:f>SUM(C4:C15)</x:f>
        <x:v>458000</x:v>
      </x:c>
      <x:c r="D16" s="52"/>
      <x:c r="E16" s="52"/>
      <x:c r="F16" s="52"/>
    </x:row>
    <x:row r="17">
      <x:c r="A17" t="str">
        <x:v>إجمالي العمالة</x:v>
      </x:c>
      <x:c r="B17" s="24"/>
      <x:c r="C17" s="87" t="n">
        <x:f>'School - Payroll'!J22</x:f>
        <x:v>578940</x:v>
      </x:c>
    </x:row>
    <x:row r="18">
      <x:c r="A18" s="16" t="str">
        <x:v>إجمالي التشغيل قبل تكلفة المبيعات</x:v>
      </x:c>
      <x:c r="B18" s="60"/>
      <x:c r="C18" s="60" t="n">
        <x:f>SUM(C16:C17)</x:f>
        <x:v>1036940</x:v>
      </x:c>
      <x:c r="D18" s="16"/>
      <x:c r="E18" s="16"/>
      <x:c r="F18" s="16"/>
    </x:row>
  </x:sheetData>
  <x:mergeCells>
    <x:mergeCell ref="A1:F1"/>
    <x:mergeCell ref="A16:B16"/>
    <x:mergeCell ref="A17:B17"/>
    <x:mergeCell ref="A18:B18"/>
  </x:mergeCells>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x:c r="A1" s="29" t="str">
        <x:v>النموذج المالي لعشر سنوات - مدرسة ثانوية خاصة</x:v>
      </x:c>
      <x:c r="B1" s="29"/>
      <x:c r="C1" s="29"/>
      <x:c r="D1" s="29"/>
      <x:c r="E1" s="29"/>
      <x:c r="F1" s="29"/>
      <x:c r="G1" s="29"/>
      <x:c r="H1" s="29"/>
      <x:c r="I1" s="29"/>
      <x:c r="J1" s="29"/>
      <x:c r="K1" s="29"/>
      <x:c r="L1" s="29"/>
    </x:row>
    <x:row r="3">
      <x:c r="A3" s="19" t="str">
        <x:v>المؤشر</x:v>
      </x:c>
      <x:c r="B3" s="19" t="str">
        <x:v>سنة 1</x:v>
      </x:c>
      <x:c r="C3" s="19" t="str">
        <x:v>سنة 2</x:v>
      </x:c>
      <x:c r="D3" s="19" t="str">
        <x:v>سنة 3</x:v>
      </x:c>
      <x:c r="E3" s="19" t="str">
        <x:v>سنة 4</x:v>
      </x:c>
      <x:c r="F3" s="19" t="str">
        <x:v>سنة 5</x:v>
      </x:c>
      <x:c r="G3" s="19" t="str">
        <x:v>سنة 6</x:v>
      </x:c>
      <x:c r="H3" s="19" t="str">
        <x:v>سنة 7</x:v>
      </x:c>
      <x:c r="I3" s="19" t="str">
        <x:v>سنة 8</x:v>
      </x:c>
      <x:c r="J3" s="19" t="str">
        <x:v>سنة 9</x:v>
      </x:c>
      <x:c r="K3" s="19" t="str">
        <x:v>سنة 10</x:v>
      </x:c>
    </x:row>
    <x:row r="4">
      <x:c r="A4" t="str">
        <x:v>الإيرادات</x:v>
      </x:c>
      <x:c r="B4" s="84" t="n">
        <x:f>'Dynamic Inputs'!$B$22*'Dynamic Inputs'!$B$23*(1-'Dynamic Inputs'!$B$24)+'Dynamic Inputs'!$B$25*'Dynamic Inputs'!$B$26+'Dynamic Inputs'!$B$22*'Dynamic Inputs'!$B$27</x:f>
        <x:v>819350</x:v>
      </x:c>
      <x:c r="C4" s="84" t="n">
        <x:f>B4*(1+'Dynamic Inputs'!$E$22)</x:f>
        <x:v>983220</x:v>
      </x:c>
      <x:c r="D4" s="84" t="n">
        <x:f>C4*(1+'Dynamic Inputs'!$F$22)</x:f>
        <x:v>1140535.2</x:v>
      </x:c>
      <x:c r="E4" s="84" t="n">
        <x:f>D4*(1+'Dynamic Inputs'!$G$22)</x:f>
        <x:v>1277399.424</x:v>
      </x:c>
      <x:c r="F4" s="84" t="n">
        <x:f>E4*(1+'Dynamic Inputs'!$H$22)</x:f>
        <x:v>1379591.37792</x:v>
      </x:c>
      <x:c r="G4" s="84" t="n">
        <x:f>F4*(1+'Dynamic Inputs'!$I$22)</x:f>
        <x:v>1462366.8605952002</x:v>
      </x:c>
      <x:c r="H4" s="84" t="n">
        <x:f>G4*(1+'Dynamic Inputs'!$J$22)</x:f>
        <x:v>1535485.2036249603</x:v>
      </x:c>
      <x:c r="I4" s="84" t="n">
        <x:f>H4*(1+'Dynamic Inputs'!$K$22)</x:f>
        <x:v>1596904.6117699586</x:v>
      </x:c>
      <x:c r="J4" s="84" t="n">
        <x:f>I4*(1+'Dynamic Inputs'!$L$22)</x:f>
        <x:v>1652796.2731819071</x:v>
      </x:c>
      <x:c r="K4" s="84" t="n">
        <x:f>J4*(1+'Dynamic Inputs'!$M$22)</x:f>
        <x:v>1702380.1613773643</x:v>
      </x:c>
    </x:row>
    <x:row r="5">
      <x:c r="A5" t="str">
        <x:v>تكلفة المواد/الخدمة</x:v>
      </x:c>
      <x:c r="B5" s="84" t="n">
        <x:f>B4*'Dynamic Inputs'!$B$28</x:f>
        <x:v>65548</x:v>
      </x:c>
      <x:c r="C5" s="84" t="n">
        <x:f>C4*'Dynamic Inputs'!$B$28</x:f>
        <x:v>78657.6</x:v>
      </x:c>
      <x:c r="D5" s="84" t="n">
        <x:f>D4*'Dynamic Inputs'!$B$28</x:f>
        <x:v>91242.81599999999</x:v>
      </x:c>
      <x:c r="E5" s="84" t="n">
        <x:f>E4*'Dynamic Inputs'!$B$28</x:f>
        <x:v>102191.95392000001</x:v>
      </x:c>
      <x:c r="F5" s="84" t="n">
        <x:f>F4*'Dynamic Inputs'!$B$28</x:f>
        <x:v>110367.31023360002</x:v>
      </x:c>
      <x:c r="G5" s="84" t="n">
        <x:f>G4*'Dynamic Inputs'!$B$28</x:f>
        <x:v>116989.34884761601</x:v>
      </x:c>
      <x:c r="H5" s="84" t="n">
        <x:f>H4*'Dynamic Inputs'!$B$28</x:f>
        <x:v>122838.81628999683</x:v>
      </x:c>
      <x:c r="I5" s="84" t="n">
        <x:f>I4*'Dynamic Inputs'!$B$28</x:f>
        <x:v>127752.3689415967</x:v>
      </x:c>
      <x:c r="J5" s="84" t="n">
        <x:f>J4*'Dynamic Inputs'!$B$28</x:f>
        <x:v>132223.70185455258</x:v>
      </x:c>
      <x:c r="K5" s="84" t="n">
        <x:f>K4*'Dynamic Inputs'!$B$28</x:f>
        <x:v>136190.41291018916</x:v>
      </x:c>
    </x:row>
    <x:row r="6">
      <x:c r="A6" t="str">
        <x:v>مجمل الربح</x:v>
      </x:c>
      <x:c r="B6" s="84" t="n">
        <x:f>B4-B5</x:f>
        <x:v>753802</x:v>
      </x:c>
      <x:c r="C6" s="84" t="n">
        <x:f>C4-C5</x:f>
        <x:v>904562.4</x:v>
      </x:c>
      <x:c r="D6" s="84" t="n">
        <x:f>D4-D5</x:f>
        <x:v>1049292.384</x:v>
      </x:c>
      <x:c r="E6" s="84" t="n">
        <x:f>E4-E5</x:f>
        <x:v>1175207.47008</x:v>
      </x:c>
      <x:c r="F6" s="84" t="n">
        <x:f>F4-F5</x:f>
        <x:v>1269224.0676864001</x:v>
      </x:c>
      <x:c r="G6" s="84" t="n">
        <x:f>G4-G5</x:f>
        <x:v>1345377.5117475842</x:v>
      </x:c>
      <x:c r="H6" s="84" t="n">
        <x:f>H4-H5</x:f>
        <x:v>1412646.3873349635</x:v>
      </x:c>
      <x:c r="I6" s="84" t="n">
        <x:f>I4-I5</x:f>
        <x:v>1469152.242828362</x:v>
      </x:c>
      <x:c r="J6" s="84" t="n">
        <x:f>J4-J5</x:f>
        <x:v>1520572.5713273545</x:v>
      </x:c>
      <x:c r="K6" s="84" t="n">
        <x:f>K4-K5</x:f>
        <x:v>1566189.748467175</x:v>
      </x:c>
    </x:row>
    <x:row r="7">
      <x:c r="A7" t="str">
        <x:v>تكلفة العمالة</x:v>
      </x:c>
      <x:c r="B7" s="84" t="n">
        <x:f>'School - Payroll'!J22</x:f>
        <x:v>578940</x:v>
      </x:c>
      <x:c r="C7" s="84" t="n">
        <x:f>B7*(1+'General Assumptions'!$B$9)</x:f>
        <x:v>602097.6</x:v>
      </x:c>
      <x:c r="D7" s="84" t="n">
        <x:f>C7*(1+'General Assumptions'!$B$9)</x:f>
        <x:v>626181.504</x:v>
      </x:c>
      <x:c r="E7" s="84" t="n">
        <x:f>D7*(1+'General Assumptions'!$B$9)</x:f>
        <x:v>651228.76416</x:v>
      </x:c>
      <x:c r="F7" s="84" t="n">
        <x:f>E7*(1+'General Assumptions'!$B$9)</x:f>
        <x:v>677277.9147264</x:v>
      </x:c>
      <x:c r="G7" s="84" t="n">
        <x:f>F7*(1+'General Assumptions'!$B$9)</x:f>
        <x:v>704369.031315456</x:v>
      </x:c>
      <x:c r="H7" s="84" t="n">
        <x:f>G7*(1+'General Assumptions'!$B$9)</x:f>
        <x:v>732543.7925680743</x:v>
      </x:c>
      <x:c r="I7" s="84" t="n">
        <x:f>H7*(1+'General Assumptions'!$B$9)</x:f>
        <x:v>761845.5442707973</x:v>
      </x:c>
      <x:c r="J7" s="84" t="n">
        <x:f>I7*(1+'General Assumptions'!$B$9)</x:f>
        <x:v>792319.3660416292</x:v>
      </x:c>
      <x:c r="K7" s="84" t="n">
        <x:f>J7*(1+'General Assumptions'!$B$9)</x:f>
        <x:v>824012.1406832944</x:v>
      </x:c>
    </x:row>
    <x:row r="8">
      <x:c r="A8" t="str">
        <x:v>OPEX غير العمالة</x:v>
      </x:c>
      <x:c r="B8" s="84" t="n">
        <x:f>'School - OPEX'!C16</x:f>
        <x:v>458000</x:v>
      </x:c>
      <x:c r="C8" s="84" t="n">
        <x:f>B8*(1+'General Assumptions'!$B$10)</x:f>
        <x:v>471740</x:v>
      </x:c>
      <x:c r="D8" s="84" t="n">
        <x:f>C8*(1+'General Assumptions'!$B$10)</x:f>
        <x:v>485892.2</x:v>
      </x:c>
      <x:c r="E8" s="84" t="n">
        <x:f>D8*(1+'General Assumptions'!$B$10)</x:f>
        <x:v>500468.966</x:v>
      </x:c>
      <x:c r="F8" s="84" t="n">
        <x:f>E8*(1+'General Assumptions'!$B$10)</x:f>
        <x:v>515483.03498000005</x:v>
      </x:c>
      <x:c r="G8" s="84" t="n">
        <x:f>F8*(1+'General Assumptions'!$B$10)</x:f>
        <x:v>530947.5260294001</x:v>
      </x:c>
      <x:c r="H8" s="84" t="n">
        <x:f>G8*(1+'General Assumptions'!$B$10)</x:f>
        <x:v>546875.9518102821</x:v>
      </x:c>
      <x:c r="I8" s="84" t="n">
        <x:f>H8*(1+'General Assumptions'!$B$10)</x:f>
        <x:v>563282.2303645905</x:v>
      </x:c>
      <x:c r="J8" s="84" t="n">
        <x:f>I8*(1+'General Assumptions'!$B$10)</x:f>
        <x:v>580180.6972755282</x:v>
      </x:c>
      <x:c r="K8" s="84" t="n">
        <x:f>J8*(1+'General Assumptions'!$B$10)</x:f>
        <x:v>597586.118193794</x:v>
      </x:c>
    </x:row>
    <x:row r="9">
      <x:c r="A9" t="str">
        <x:v>EBITDA</x:v>
      </x:c>
      <x:c r="B9" s="84" t="n">
        <x:f>B6-B7-B8</x:f>
        <x:v>-283138</x:v>
      </x:c>
      <x:c r="C9" s="84" t="n">
        <x:f>C6-C7-C8</x:f>
        <x:v>-169275.19999999995</x:v>
      </x:c>
      <x:c r="D9" s="84" t="n">
        <x:f>D6-D7-D8</x:f>
        <x:v>-62781.31999999989</x:v>
      </x:c>
      <x:c r="E9" s="84" t="n">
        <x:f>E6-E7-E8</x:f>
        <x:v>23509.73992000008</x:v>
      </x:c>
      <x:c r="F9" s="84" t="n">
        <x:f>F6-F7-F8</x:f>
        <x:v>76463.11798000004</x:v>
      </x:c>
      <x:c r="G9" s="84" t="n">
        <x:f>G6-G7-G8</x:f>
        <x:v>110060.95440272812</x:v>
      </x:c>
      <x:c r="H9" s="84" t="n">
        <x:f>H6-H7-H8</x:f>
        <x:v>133226.64295660716</x:v>
      </x:c>
      <x:c r="I9" s="84" t="n">
        <x:f>I6-I7-I8</x:f>
        <x:v>144024.4681929741</x:v>
      </x:c>
      <x:c r="J9" s="84" t="n">
        <x:f>J6-J7-J8</x:f>
        <x:v>148072.50801019708</x:v>
      </x:c>
      <x:c r="K9" s="84" t="n">
        <x:f>K6-K7-K8</x:f>
        <x:v>144591.48959008662</x:v>
      </x:c>
    </x:row>
    <x:row r="10">
      <x:c r="A10" t="str">
        <x:v>هامش EBITDA</x:v>
      </x:c>
      <x:c r="B10" s="86" t="n">
        <x:f>IFERROR(B9/B4,0)</x:f>
        <x:v>-0.34556416671752</x:v>
      </x:c>
      <x:c r="C10" s="86" t="n">
        <x:f>IFERROR(C9/C4,0)</x:f>
        <x:v>-0.1721641138300685</x:v>
      </x:c>
      <x:c r="D10" s="86" t="n">
        <x:f>IFERROR(D9/D4,0)</x:f>
        <x:v>-0.055045490923910013</x:v>
      </x:c>
      <x:c r="E10" s="86" t="n">
        <x:f>IFERROR(E9/E4,0)</x:f>
        <x:v>0.018404376484203015</x:v>
      </x:c>
      <x:c r="F10" s="86" t="n">
        <x:f>IFERROR(F9/F4,0)</x:f>
        <x:v>0.05542446785604222</x:v>
      </x:c>
      <x:c r="G10" s="86" t="n">
        <x:f>IFERROR(G9/G4,0)</x:f>
        <x:v>0.07526220496950542</x:v>
      </x:c>
      <x:c r="H10" s="86" t="n">
        <x:f>IFERROR(H9/H4,0)</x:f>
        <x:v>0.08676517536091317</x:v>
      </x:c>
      <x:c r="I10" s="86" t="n">
        <x:f>IFERROR(I9/I4,0)</x:f>
        <x:v>0.0901897753512916</x:v>
      </x:c>
      <x:c r="J10" s="86" t="n">
        <x:f>IFERROR(J9/J4,0)</x:f>
        <x:v>0.08958908633375179</x:v>
      </x:c>
      <x:c r="K10" s="86" t="n">
        <x:f>IFERROR(K9/K4,0)</x:f>
        <x:v>0.08493490048256926</x:v>
      </x:c>
    </x:row>
    <x:row r="11">
      <x:c r="A11" t="str">
        <x:v>الاستهلاك</x:v>
      </x:c>
      <x:c r="B11" s="84" t="n">
        <x:f>'School - CAPEX'!B19*'General Assumptions'!$B$19</x:f>
        <x:v>216000</x:v>
      </x:c>
      <x:c r="C11" s="84" t="n">
        <x:f>'School - CAPEX'!B19*'General Assumptions'!$B$19</x:f>
        <x:v>216000</x:v>
      </x:c>
      <x:c r="D11" s="84" t="n">
        <x:f>'School - CAPEX'!B19*'General Assumptions'!$B$19</x:f>
        <x:v>216000</x:v>
      </x:c>
      <x:c r="E11" s="84" t="n">
        <x:f>'School - CAPEX'!B19*'General Assumptions'!$B$19</x:f>
        <x:v>216000</x:v>
      </x:c>
      <x:c r="F11" s="84" t="n">
        <x:f>'School - CAPEX'!B19*'General Assumptions'!$B$19</x:f>
        <x:v>216000</x:v>
      </x:c>
      <x:c r="G11" s="84" t="n">
        <x:f>'School - CAPEX'!B19*'General Assumptions'!$B$19</x:f>
        <x:v>216000</x:v>
      </x:c>
      <x:c r="H11" s="84" t="n">
        <x:f>'School - CAPEX'!B19*'General Assumptions'!$B$19</x:f>
        <x:v>216000</x:v>
      </x:c>
      <x:c r="I11" s="84" t="n">
        <x:f>'School - CAPEX'!B19*'General Assumptions'!$B$19</x:f>
        <x:v>216000</x:v>
      </x:c>
      <x:c r="J11" s="84" t="n">
        <x:f>'School - CAPEX'!B19*'General Assumptions'!$B$19</x:f>
        <x:v>216000</x:v>
      </x:c>
      <x:c r="K11" s="84" t="n">
        <x:f>'School - CAPEX'!B19*'General Assumptions'!$B$19</x:f>
        <x:v>216000</x:v>
      </x:c>
    </x:row>
    <x:row r="12">
      <x:c r="A12" t="str">
        <x:v>صافي الربح</x:v>
      </x:c>
      <x:c r="B12" s="84" t="n">
        <x:f>B9-B11-B44-B45</x:f>
        <x:v>-589858</x:v>
      </x:c>
      <x:c r="C12" s="84" t="n">
        <x:f>C9-C11-C44-C45</x:f>
        <x:v>-466923.19999999995</x:v>
      </x:c>
      <x:c r="D12" s="84" t="n">
        <x:f>D9-D11-D44-D45</x:f>
        <x:v>-351357.3199999999</x:v>
      </x:c>
      <x:c r="E12" s="84" t="n">
        <x:f>E9-E11-E44-E45</x:f>
        <x:v>-255994.26007999992</x:v>
      </x:c>
      <x:c r="F12" s="84" t="n">
        <x:f>F9-F11-F44-F45</x:f>
        <x:v>-193968.88201999996</x:v>
      </x:c>
      <x:c r="G12" s="84" t="n">
        <x:f>G9-G11-G44-G45</x:f>
        <x:v>-151299.04559727188</x:v>
      </x:c>
      <x:c r="H12" s="84" t="n">
        <x:f>H9-H11-H44-H45</x:f>
        <x:v>-119061.35704339284</x:v>
      </x:c>
      <x:c r="I12" s="84" t="n">
        <x:f>I9-I11-I44-I45</x:f>
        <x:v>-99191.5318070259</x:v>
      </x:c>
      <x:c r="J12" s="84" t="n">
        <x:f>J9-J11-J44-J45</x:f>
        <x:v>-86071.49198980292</x:v>
      </x:c>
      <x:c r="K12" s="84" t="n">
        <x:f>K9-K11-K44-K45</x:f>
        <x:v>-80480.51040991338</x:v>
      </x:c>
    </x:row>
    <x:row r="13">
      <x:c r="A13" t="str">
        <x:v>التدفق النقدي الحر</x:v>
      </x:c>
      <x:c r="B13" s="84" t="n">
        <x:f>B49</x:f>
        <x:v>-300251.9</x:v>
      </x:c>
      <x:c r="C13" s="84" t="n">
        <x:f>C49</x:f>
        <x:v>-150168.45999999996</x:v>
      </x:c>
      <x:c r="D13" s="84" t="n">
        <x:f>D49</x:f>
        <x:v>-64383.42399999991</x:v>
      </x:c>
      <x:c r="E13" s="84" t="n">
        <x:f>E49</x:f>
        <x:v>6490.011776000043</x:v>
      </x:c>
      <x:c r="F13" s="84" t="n">
        <x:f>F49</x:f>
        <x:v>51973.21853120001</x:v>
      </x:c>
      <x:c r="G13" s="84" t="n">
        <x:f>G49</x:f>
        <x:v>80598.97008141446</x:v>
      </x:c>
      <x:c r="H13" s="84" t="n">
        <x:f>H49</x:f>
        <x:v>100000.66349260736</x:v>
      </x:c>
      <x:c r="I13" s="84" t="n">
        <x:f>I49</x:f>
        <x:v>109691.82782132941</x:v>
      </x:c>
      <x:c r="J13" s="84" t="n">
        <x:f>J49</x:f>
        <x:v>113427.75688108231</x:v>
      </x:c>
      <x:c r="K13" s="84" t="n">
        <x:f>K49</x:f>
        <x:v>111210.64173447815</x:v>
      </x:c>
    </x:row>
    <x:row r="14">
      <x:c r="A14" t="str">
        <x:v>DSCR</x:v>
      </x:c>
      <x:c r="B14" s="89" t="n">
        <x:f>IF(1&lt;='Dynamic Inputs'!$B$30,IFERROR((B9-B45)/(('School - CAPEX'!$B$19*'Dynamic Inputs'!$B$29)*'General Assumptions'!$B$6/(1-(1+'General Assumptions'!$B$6)^(-'Dynamic Inputs'!$B$30))),0),0)</x:f>
        <x:v>-1.802661474395596</x:v>
      </x:c>
      <x:c r="C14" s="89" t="n">
        <x:f>IF(2&lt;='Dynamic Inputs'!$B$30,IFERROR((C9-C45)/(('School - CAPEX'!$B$19*'Dynamic Inputs'!$B$29)*'General Assumptions'!$B$6/(1-(1+'General Assumptions'!$B$6)^(-'Dynamic Inputs'!$B$30))),0),0)</x:f>
        <x:v>-1.0777284631897142</x:v>
      </x:c>
      <x:c r="D14" s="89" t="n">
        <x:f>IF(3&lt;='Dynamic Inputs'!$B$30,IFERROR((D9-D45)/(('School - CAPEX'!$B$19*'Dynamic Inputs'!$B$29)*'General Assumptions'!$B$6/(1-(1+'General Assumptions'!$B$6)^(-'Dynamic Inputs'!$B$30))),0),0)</x:f>
        <x:v>-0.3997113311378251</x:v>
      </x:c>
      <x:c r="E14" s="89" t="n">
        <x:f>IF(4&lt;='Dynamic Inputs'!$B$30,IFERROR((E9-E45)/(('School - CAPEX'!$B$19*'Dynamic Inputs'!$B$29)*'General Assumptions'!$B$6/(1-(1+'General Assumptions'!$B$6)^(-'Dynamic Inputs'!$B$30))),0),0)</x:f>
        <x:v>0.1496800232637242</x:v>
      </x:c>
      <x:c r="F14" s="89" t="n">
        <x:f>IF(5&lt;='Dynamic Inputs'!$B$30,IFERROR((F9-F45)/(('School - CAPEX'!$B$19*'Dynamic Inputs'!$B$29)*'General Assumptions'!$B$6/(1-(1+'General Assumptions'!$B$6)^(-'Dynamic Inputs'!$B$30))),0),0)</x:f>
        <x:v>0.48681956146723954</x:v>
      </x:c>
      <x:c r="G14" s="89" t="n">
        <x:f>IF(6&lt;='Dynamic Inputs'!$B$30,IFERROR((G9-G45)/(('School - CAPEX'!$B$19*'Dynamic Inputs'!$B$29)*'General Assumptions'!$B$6/(1-(1+'General Assumptions'!$B$6)^(-'Dynamic Inputs'!$B$30))),0),0)</x:f>
        <x:v>0.7007277099400587</x:v>
      </x:c>
      <x:c r="H14" s="89" t="n">
        <x:f>IF(7&lt;='Dynamic Inputs'!$B$30,IFERROR((H9-H45)/(('School - CAPEX'!$B$19*'Dynamic Inputs'!$B$29)*'General Assumptions'!$B$6/(1-(1+'General Assumptions'!$B$6)^(-'Dynamic Inputs'!$B$30))),0),0)</x:f>
        <x:v>0.8482172531448732</x:v>
      </x:c>
      <x:c r="I14" s="89" t="n">
        <x:f>IF(8&lt;='Dynamic Inputs'!$B$30,IFERROR((I9-I45)/(('School - CAPEX'!$B$19*'Dynamic Inputs'!$B$29)*'General Assumptions'!$B$6/(1-(1+'General Assumptions'!$B$6)^(-'Dynamic Inputs'!$B$30))),0),0)</x:f>
        <x:v>0.916964025251956</x:v>
      </x:c>
      <x:c r="J14" s="89" t="n">
        <x:f>IF(9&lt;='Dynamic Inputs'!$B$30,IFERROR((J9-J45)/(('School - CAPEX'!$B$19*'Dynamic Inputs'!$B$29)*'General Assumptions'!$B$6/(1-(1+'General Assumptions'!$B$6)^(-'Dynamic Inputs'!$B$30))),0),0)</x:f>
        <x:v>0.9427367771444156</x:v>
      </x:c>
      <x:c r="K14" s="89" t="n">
        <x:f>IF(10&lt;='Dynamic Inputs'!$B$30,IFERROR((K9-K45)/(('School - CAPEX'!$B$19*'Dynamic Inputs'!$B$29)*'General Assumptions'!$B$6/(1-(1+'General Assumptions'!$B$6)^(-'Dynamic Inputs'!$B$30))),0),0)</x:f>
        <x:v>0.9205740939383658</x:v>
      </x:c>
    </x:row>
    <x:row r="16">
      <x:c r="A16" s="19" t="str">
        <x:v>المؤشر</x:v>
      </x:c>
      <x:c r="B16" s="19" t="str">
        <x:v>دون الأرض</x:v>
      </x:c>
      <x:c r="C16" s="19" t="str">
        <x:v>مع الأرض</x:v>
      </x:c>
      <x:c r="D16" s="19" t="str">
        <x:v>قرار</x:v>
      </x:c>
      <x:c r="E16" s="19" t="str">
        <x:v>حد القبول</x:v>
      </x:c>
      <x:c r="F16" s="19" t="str">
        <x:v>ملاحظة</x:v>
      </x:c>
    </x:row>
    <x:row r="17">
      <x:c r="A17" t="str">
        <x:v>CAPEX</x:v>
      </x:c>
      <x:c r="B17" s="24" t="n">
        <x:f>'School - CAPEX'!B19</x:f>
        <x:v>2880000</x:v>
      </x:c>
      <x:c r="C17" s="24" t="n">
        <x:f>'School - CAPEX'!B21</x:f>
        <x:v>3680000</x:v>
      </x:c>
      <x:c r="D17" t="str">
        <x:v>غير موصى بها على الدونم بصيغتها الحالية</x:v>
      </x:c>
      <x:c r="E17" t="str"/>
      <x:c r="F17" t="str"/>
    </x:row>
    <x:row r="18">
      <x:c r="A18" t="str">
        <x:v>NPV</x:v>
      </x:c>
      <x:c r="B18" s="24" t="n">
        <x:f>B51+C51/(1+'General Assumptions'!$B$5)^1+D51/(1+'General Assumptions'!$B$5)^2+E51/(1+'General Assumptions'!$B$5)^3+F51/(1+'General Assumptions'!$B$5)^4+G51/(1+'General Assumptions'!$B$5)^5+H51/(1+'General Assumptions'!$B$5)^6+I51/(1+'General Assumptions'!$B$5)^7+J51/(1+'General Assumptions'!$B$5)^8+K51/(1+'General Assumptions'!$B$5)^9+L51/(1+'General Assumptions'!$B$5)^10</x:f>
        <x:v>-1718802.6192701575</x:v>
      </x:c>
      <x:c r="C18" s="24" t="n">
        <x:f>B52+C52/(1+'General Assumptions'!$B$5)^1+D52/(1+'General Assumptions'!$B$5)^2+E52/(1+'General Assumptions'!$B$5)^3+F52/(1+'General Assumptions'!$B$5)^4+G52/(1+'General Assumptions'!$B$5)^5+H52/(1+'General Assumptions'!$B$5)^6+I52/(1+'General Assumptions'!$B$5)^7+J52/(1+'General Assumptions'!$B$5)^8+K52/(1+'General Assumptions'!$B$5)^9+L52/(1+'General Assumptions'!$B$5)^10</x:f>
        <x:v>-2518802.6192701575</x:v>
      </x:c>
      <x:c r="D18" t="str">
        <x:v>يُقبل إذا موجب بعد الأرض</x:v>
      </x:c>
      <x:c r="E18" s="24" t="n">
        <x:v>0</x:v>
      </x:c>
      <x:c r="F18" t="str"/>
    </x:row>
    <x:row r="19">
      <x:c r="A19" t="str">
        <x:v>IRR</x:v>
      </x:c>
      <x:c r="B19" s="26" t="n">
        <x:f>IRR(B51:L51)</x:f>
        <x:v>-0.044868062574702244</x:v>
      </x:c>
      <x:c r="C19" s="26" t="n">
        <x:f>IRR(B52:L52)</x:f>
        <x:v>-0.07448427627808372</x:v>
      </x:c>
      <x:c r="D19" t="str">
        <x:v>يُقارن بمعدل الخصم</x:v>
      </x:c>
      <x:c r="E19" s="26" t="n">
        <x:v>0.115</x:v>
      </x:c>
      <x:c r="F19" t="str"/>
    </x:row>
    <x:row r="20">
      <x:c r="A20" t="str">
        <x:v>فترة الاسترداد</x:v>
      </x:c>
      <x:c r="B20" t="n">
        <x:f>COUNTIF(B53:L53,"&lt;0")</x:f>
        <x:v>11</x:v>
      </x:c>
      <x:c r="C20" t="n">
        <x:f>COUNTIF(B54:L54,"&lt;0")</x:f>
        <x:v>11</x:v>
      </x:c>
      <x:c r="D20" t="str">
        <x:v>الأقصر أفضل</x:v>
      </x:c>
      <x:c r="E20" t="n">
        <x:v>10</x:v>
      </x:c>
      <x:c r="F20" t="str">
        <x:v>سنة</x:v>
      </x:c>
    </x:row>
    <x:row r="21">
      <x:c r="A21" t="str">
        <x:v>أدنى DSCR</x:v>
      </x:c>
      <x:c r="B21" s="62" t="n">
        <x:f>MIN(B14:INDEX(B14:K14,1,'Dynamic Inputs'!$B$30))</x:f>
        <x:v>-1.802661474395596</x:v>
      </x:c>
      <x:c r="C21" s="62" t="n">
        <x:f>B21</x:f>
        <x:v>-1.802661474395596</x:v>
      </x:c>
      <x:c r="D21" t="str">
        <x:v>يجب ألا يقل عن 1.30x</x:v>
      </x:c>
      <x:c r="E21" s="62" t="n">
        <x:v>1.3</x:v>
      </x:c>
      <x:c r="F21" t="str"/>
    </x:row>
    <x:row r="42">
      <x:c r="A42" s="91" t="str">
        <x:v>حسابات مساندة</x:v>
      </x:c>
      <x:c r="B42" s="92" t="str">
        <x:v>سنة 1</x:v>
      </x:c>
      <x:c r="C42" s="92" t="str">
        <x:v>سنة 2</x:v>
      </x:c>
      <x:c r="D42" s="92" t="str">
        <x:v>سنة 3</x:v>
      </x:c>
      <x:c r="E42" s="92" t="str">
        <x:v>سنة 4</x:v>
      </x:c>
      <x:c r="F42" s="92" t="str">
        <x:v>سنة 5</x:v>
      </x:c>
      <x:c r="G42" s="92" t="str">
        <x:v>سنة 6</x:v>
      </x:c>
      <x:c r="H42" s="92" t="str">
        <x:v>سنة 7</x:v>
      </x:c>
      <x:c r="I42" s="92" t="str">
        <x:v>سنة 8</x:v>
      </x:c>
      <x:c r="J42" s="92" t="str">
        <x:v>سنة 9</x:v>
      </x:c>
      <x:c r="K42" s="92" t="str">
        <x:v>سنة 10</x:v>
      </x:c>
      <x:c r="L42" s="95"/>
    </x:row>
    <x:row r="43">
      <x:c r="A43" s="96" t="str">
        <x:v>رصيد الدين التقريبي</x:v>
      </x:c>
      <x:c r="B43" s="95" t="n">
        <x:f>MAX(0,'School - CAPEX'!$B$19*'Dynamic Inputs'!$B$29*(1-(1-1)/'Dynamic Inputs'!$B$30))</x:f>
        <x:v>1007999.9999999999</x:v>
      </x:c>
      <x:c r="C43" s="95" t="n">
        <x:f>MAX(0,'School - CAPEX'!$B$19*'Dynamic Inputs'!$B$29*(1-(2-1)/'Dynamic Inputs'!$B$30))</x:f>
        <x:v>907199.9999999999</x:v>
      </x:c>
      <x:c r="D43" s="95" t="n">
        <x:f>MAX(0,'School - CAPEX'!$B$19*'Dynamic Inputs'!$B$29*(1-(3-1)/'Dynamic Inputs'!$B$30))</x:f>
        <x:v>806400</x:v>
      </x:c>
      <x:c r="E43" s="95" t="n">
        <x:f>MAX(0,'School - CAPEX'!$B$19*'Dynamic Inputs'!$B$29*(1-(4-1)/'Dynamic Inputs'!$B$30))</x:f>
        <x:v>705599.9999999999</x:v>
      </x:c>
      <x:c r="F43" s="95" t="n">
        <x:f>MAX(0,'School - CAPEX'!$B$19*'Dynamic Inputs'!$B$29*(1-(5-1)/'Dynamic Inputs'!$B$30))</x:f>
        <x:v>604799.9999999999</x:v>
      </x:c>
      <x:c r="G43" s="95" t="n">
        <x:f>MAX(0,'School - CAPEX'!$B$19*'Dynamic Inputs'!$B$29*(1-(6-1)/'Dynamic Inputs'!$B$30))</x:f>
        <x:v>503999.99999999994</x:v>
      </x:c>
      <x:c r="H43" s="95" t="n">
        <x:f>MAX(0,'School - CAPEX'!$B$19*'Dynamic Inputs'!$B$29*(1-(7-1)/'Dynamic Inputs'!$B$30))</x:f>
        <x:v>403200</x:v>
      </x:c>
      <x:c r="I43" s="95" t="n">
        <x:f>MAX(0,'School - CAPEX'!$B$19*'Dynamic Inputs'!$B$29*(1-(8-1)/'Dynamic Inputs'!$B$30))</x:f>
        <x:v>302400</x:v>
      </x:c>
      <x:c r="J43" s="95" t="n">
        <x:f>MAX(0,'School - CAPEX'!$B$19*'Dynamic Inputs'!$B$29*(1-(9-1)/'Dynamic Inputs'!$B$30))</x:f>
        <x:v>201599.99999999994</x:v>
      </x:c>
      <x:c r="K43" s="95" t="n">
        <x:f>MAX(0,'School - CAPEX'!$B$19*'Dynamic Inputs'!$B$29*(1-(10-1)/'Dynamic Inputs'!$B$30))</x:f>
        <x:v>100799.99999999997</x:v>
      </x:c>
      <x:c r="L43" s="95"/>
    </x:row>
    <x:row r="44">
      <x:c r="A44" s="96" t="str">
        <x:v>الفائدة</x:v>
      </x:c>
      <x:c r="B44" s="95" t="n">
        <x:f>IF(1&lt;='Dynamic Inputs'!$B$30,B43*'General Assumptions'!$B$6,0)</x:f>
        <x:v>90719.99999999999</x:v>
      </x:c>
      <x:c r="C44" s="95" t="n">
        <x:f>IF(2&lt;='Dynamic Inputs'!$B$30,C43*'General Assumptions'!$B$6,0)</x:f>
        <x:v>81647.99999999999</x:v>
      </x:c>
      <x:c r="D44" s="95" t="n">
        <x:f>IF(3&lt;='Dynamic Inputs'!$B$30,D43*'General Assumptions'!$B$6,0)</x:f>
        <x:v>72576</x:v>
      </x:c>
      <x:c r="E44" s="95" t="n">
        <x:f>IF(4&lt;='Dynamic Inputs'!$B$30,E43*'General Assumptions'!$B$6,0)</x:f>
        <x:v>63503.999999999985</x:v>
      </x:c>
      <x:c r="F44" s="95" t="n">
        <x:f>IF(5&lt;='Dynamic Inputs'!$B$30,F43*'General Assumptions'!$B$6,0)</x:f>
        <x:v>54431.999999999985</x:v>
      </x:c>
      <x:c r="G44" s="95" t="n">
        <x:f>IF(6&lt;='Dynamic Inputs'!$B$30,G43*'General Assumptions'!$B$6,0)</x:f>
        <x:v>45359.99999999999</x:v>
      </x:c>
      <x:c r="H44" s="95" t="n">
        <x:f>IF(7&lt;='Dynamic Inputs'!$B$30,H43*'General Assumptions'!$B$6,0)</x:f>
        <x:v>36288</x:v>
      </x:c>
      <x:c r="I44" s="95" t="n">
        <x:f>IF(8&lt;='Dynamic Inputs'!$B$30,I43*'General Assumptions'!$B$6,0)</x:f>
        <x:v>27216</x:v>
      </x:c>
      <x:c r="J44" s="95" t="n">
        <x:f>IF(9&lt;='Dynamic Inputs'!$B$30,J43*'General Assumptions'!$B$6,0)</x:f>
        <x:v>18143.999999999993</x:v>
      </x:c>
      <x:c r="K44" s="95" t="n">
        <x:f>IF(10&lt;='Dynamic Inputs'!$B$30,K43*'General Assumptions'!$B$6,0)</x:f>
        <x:v>9071.999999999996</x:v>
      </x:c>
      <x:c r="L44" s="95"/>
    </x:row>
    <x:row r="45">
      <x:c r="A45" s="96" t="str">
        <x:v>الضريبة</x:v>
      </x:c>
      <x:c r="B45" s="95" t="n">
        <x:f>MAX(0,B9-B11-B44)*'General Assumptions'!$B$7</x:f>
        <x:v>0</x:v>
      </x:c>
      <x:c r="C45" s="95" t="n">
        <x:f>MAX(0,C9-C11-C44)*'General Assumptions'!$B$7</x:f>
        <x:v>0</x:v>
      </x:c>
      <x:c r="D45" s="95" t="n">
        <x:f>MAX(0,D9-D11-D44)*'General Assumptions'!$B$7</x:f>
        <x:v>0</x:v>
      </x:c>
      <x:c r="E45" s="95" t="n">
        <x:f>MAX(0,E9-E11-E44)*'General Assumptions'!$B$7</x:f>
        <x:v>0</x:v>
      </x:c>
      <x:c r="F45" s="95" t="n">
        <x:f>MAX(0,F9-F11-F44)*'General Assumptions'!$B$7</x:f>
        <x:v>0</x:v>
      </x:c>
      <x:c r="G45" s="95" t="n">
        <x:f>MAX(0,G9-G11-G44)*'General Assumptions'!$B$7</x:f>
        <x:v>0</x:v>
      </x:c>
      <x:c r="H45" s="95" t="n">
        <x:f>MAX(0,H9-H11-H44)*'General Assumptions'!$B$7</x:f>
        <x:v>0</x:v>
      </x:c>
      <x:c r="I45" s="95" t="n">
        <x:f>MAX(0,I9-I11-I44)*'General Assumptions'!$B$7</x:f>
        <x:v>0</x:v>
      </x:c>
      <x:c r="J45" s="95" t="n">
        <x:f>MAX(0,J9-J11-J44)*'General Assumptions'!$B$7</x:f>
        <x:v>0</x:v>
      </x:c>
      <x:c r="K45" s="95" t="n">
        <x:f>MAX(0,K9-K11-K44)*'General Assumptions'!$B$7</x:f>
        <x:v>0</x:v>
      </x:c>
      <x:c r="L45" s="95"/>
    </x:row>
    <x:row r="46">
      <x:c r="A46" s="96" t="str">
        <x:v>رأس المال العامل</x:v>
      </x:c>
      <x:c r="B46" s="95" t="n">
        <x:f>B4*'General Assumptions'!$B$17</x:f>
        <x:v>73741.5</x:v>
      </x:c>
      <x:c r="C46" s="95" t="n">
        <x:f>C4*'General Assumptions'!$B$17</x:f>
        <x:v>88489.8</x:v>
      </x:c>
      <x:c r="D46" s="95" t="n">
        <x:f>D4*'General Assumptions'!$B$17</x:f>
        <x:v>102648.16799999999</x:v>
      </x:c>
      <x:c r="E46" s="95" t="n">
        <x:f>E4*'General Assumptions'!$B$17</x:f>
        <x:v>114965.94816</x:v>
      </x:c>
      <x:c r="F46" s="95" t="n">
        <x:f>F4*'General Assumptions'!$B$17</x:f>
        <x:v>124163.22401280001</x:v>
      </x:c>
      <x:c r="G46" s="95" t="n">
        <x:f>G4*'General Assumptions'!$B$17</x:f>
        <x:v>131613.01745356803</x:v>
      </x:c>
      <x:c r="H46" s="95" t="n">
        <x:f>H4*'General Assumptions'!$B$17</x:f>
        <x:v>138193.6683262464</x:v>
      </x:c>
      <x:c r="I46" s="95" t="n">
        <x:f>I4*'General Assumptions'!$B$17</x:f>
        <x:v>143721.41505929627</x:v>
      </x:c>
      <x:c r="J46" s="95" t="n">
        <x:f>J4*'General Assumptions'!$B$17</x:f>
        <x:v>148751.66458637163</x:v>
      </x:c>
      <x:c r="K46" s="95" t="n">
        <x:f>K4*'General Assumptions'!$B$17</x:f>
        <x:v>153214.2145239628</x:v>
      </x:c>
      <x:c r="L46" s="95"/>
    </x:row>
    <x:row r="47">
      <x:c r="A47" s="96" t="str">
        <x:v>التغير في رأس المال العامل</x:v>
      </x:c>
      <x:c r="B47" s="95" t="n">
        <x:f>B46</x:f>
        <x:v>73741.5</x:v>
      </x:c>
      <x:c r="C47" s="95" t="n">
        <x:f>C46-B46</x:f>
        <x:v>14748.300000000003</x:v>
      </x:c>
      <x:c r="D47" s="95" t="n">
        <x:f>D46-C46</x:f>
        <x:v>14158.367999999988</x:v>
      </x:c>
      <x:c r="E47" s="95" t="n">
        <x:f>E46-D46</x:f>
        <x:v>12317.78016000001</x:v>
      </x:c>
      <x:c r="F47" s="95" t="n">
        <x:f>F46-E46</x:f>
        <x:v>9197.275852800012</x:v>
      </x:c>
      <x:c r="G47" s="95" t="n">
        <x:f>G46-F46</x:f>
        <x:v>7449.793440768015</x:v>
      </x:c>
      <x:c r="H47" s="95" t="n">
        <x:f>H46-G46</x:f>
        <x:v>6580.6508726783795</x:v>
      </x:c>
      <x:c r="I47" s="95" t="n">
        <x:f>I46-H46</x:f>
        <x:v>5527.746733049862</x:v>
      </x:c>
      <x:c r="J47" s="95" t="n">
        <x:f>J46-I46</x:f>
        <x:v>5030.249527075357</x:v>
      </x:c>
      <x:c r="K47" s="95" t="n">
        <x:f>K46-J46</x:f>
        <x:v>4462.54993759116</x:v>
      </x:c>
      <x:c r="L47" s="95"/>
    </x:row>
    <x:row r="48">
      <x:c r="A48" s="96" t="str">
        <x:v>الصيانة الرأسمالية</x:v>
      </x:c>
      <x:c r="B48" s="95" t="n">
        <x:f>'School - CAPEX'!$B$19*'General Assumptions'!$B$18</x:f>
        <x:v>43200</x:v>
      </x:c>
      <x:c r="C48" s="95" t="n">
        <x:f>'School - CAPEX'!$B$19*'General Assumptions'!$B$18</x:f>
        <x:v>43200</x:v>
      </x:c>
      <x:c r="D48" s="95" t="n">
        <x:f>'School - CAPEX'!$B$19*'General Assumptions'!$B$18</x:f>
        <x:v>43200</x:v>
      </x:c>
      <x:c r="E48" s="95" t="n">
        <x:f>'School - CAPEX'!$B$19*'General Assumptions'!$B$18</x:f>
        <x:v>43200</x:v>
      </x:c>
      <x:c r="F48" s="95" t="n">
        <x:f>'School - CAPEX'!$B$19*'General Assumptions'!$B$18</x:f>
        <x:v>43200</x:v>
      </x:c>
      <x:c r="G48" s="95" t="n">
        <x:f>'School - CAPEX'!$B$19*'General Assumptions'!$B$18</x:f>
        <x:v>43200</x:v>
      </x:c>
      <x:c r="H48" s="95" t="n">
        <x:f>'School - CAPEX'!$B$19*'General Assumptions'!$B$18</x:f>
        <x:v>43200</x:v>
      </x:c>
      <x:c r="I48" s="95" t="n">
        <x:f>'School - CAPEX'!$B$19*'General Assumptions'!$B$18</x:f>
        <x:v>43200</x:v>
      </x:c>
      <x:c r="J48" s="95" t="n">
        <x:f>'School - CAPEX'!$B$19*'General Assumptions'!$B$18</x:f>
        <x:v>43200</x:v>
      </x:c>
      <x:c r="K48" s="95" t="n">
        <x:f>'School - CAPEX'!$B$19*'General Assumptions'!$B$18</x:f>
        <x:v>43200</x:v>
      </x:c>
      <x:c r="L48" s="95"/>
    </x:row>
    <x:row r="49">
      <x:c r="A49" s="96" t="str">
        <x:v>التدفق دون القيمة النهائية</x:v>
      </x:c>
      <x:c r="B49" s="95" t="n">
        <x:f>(B9-B11)*(1-'General Assumptions'!$B$7)+B11-B48-B47</x:f>
        <x:v>-300251.9</x:v>
      </x:c>
      <x:c r="C49" s="95" t="n">
        <x:f>(C9-C11)*(1-'General Assumptions'!$B$7)+C11-C48-C47</x:f>
        <x:v>-150168.45999999996</x:v>
      </x:c>
      <x:c r="D49" s="95" t="n">
        <x:f>(D9-D11)*(1-'General Assumptions'!$B$7)+D11-D48-D47</x:f>
        <x:v>-64383.42399999991</x:v>
      </x:c>
      <x:c r="E49" s="95" t="n">
        <x:f>(E9-E11)*(1-'General Assumptions'!$B$7)+E11-E48-E47</x:f>
        <x:v>6490.011776000043</x:v>
      </x:c>
      <x:c r="F49" s="95" t="n">
        <x:f>(F9-F11)*(1-'General Assumptions'!$B$7)+F11-F48-F47</x:f>
        <x:v>51973.21853120001</x:v>
      </x:c>
      <x:c r="G49" s="95" t="n">
        <x:f>(G9-G11)*(1-'General Assumptions'!$B$7)+G11-G48-G47</x:f>
        <x:v>80598.97008141446</x:v>
      </x:c>
      <x:c r="H49" s="95" t="n">
        <x:f>(H9-H11)*(1-'General Assumptions'!$B$7)+H11-H48-H47</x:f>
        <x:v>100000.66349260736</x:v>
      </x:c>
      <x:c r="I49" s="95" t="n">
        <x:f>(I9-I11)*(1-'General Assumptions'!$B$7)+I11-I48-I47</x:f>
        <x:v>109691.82782132941</x:v>
      </x:c>
      <x:c r="J49" s="95" t="n">
        <x:f>(J9-J11)*(1-'General Assumptions'!$B$7)+J11-J48-J47</x:f>
        <x:v>113427.75688108231</x:v>
      </x:c>
      <x:c r="K49" s="95" t="n">
        <x:f>(K9-K11)*(1-'General Assumptions'!$B$7)+K11-K48-K47</x:f>
        <x:v>111210.64173447815</x:v>
      </x:c>
      <x:c r="L49" s="95"/>
    </x:row>
    <x:row r="50">
      <x:c r="A50" s="96" t="str">
        <x:v>التدفق مع القيمة النهائية</x:v>
      </x:c>
      <x:c r="B50" s="95" t="n">
        <x:f>B49</x:f>
        <x:v>-300251.9</x:v>
      </x:c>
      <x:c r="C50" s="95" t="n">
        <x:f>C49</x:f>
        <x:v>-150168.45999999996</x:v>
      </x:c>
      <x:c r="D50" s="95" t="n">
        <x:f>D49</x:f>
        <x:v>-64383.42399999991</x:v>
      </x:c>
      <x:c r="E50" s="95" t="n">
        <x:f>E49</x:f>
        <x:v>6490.011776000043</x:v>
      </x:c>
      <x:c r="F50" s="95" t="n">
        <x:f>F49</x:f>
        <x:v>51973.21853120001</x:v>
      </x:c>
      <x:c r="G50" s="95" t="n">
        <x:f>G49</x:f>
        <x:v>80598.97008141446</x:v>
      </x:c>
      <x:c r="H50" s="95" t="n">
        <x:f>H49</x:f>
        <x:v>100000.66349260736</x:v>
      </x:c>
      <x:c r="I50" s="95" t="n">
        <x:f>I49</x:f>
        <x:v>109691.82782132941</x:v>
      </x:c>
      <x:c r="J50" s="95" t="n">
        <x:f>J49</x:f>
        <x:v>113427.75688108231</x:v>
      </x:c>
      <x:c r="K50" s="95" t="n">
        <x:f>K49+MAX(0,K9)*'Dynamic Inputs'!$B$31</x:f>
        <x:v>1123351.0688650846</x:v>
      </x:c>
      <x:c r="L50" s="95"/>
    </x:row>
    <x:row r="51">
      <x:c r="A51" s="96" t="str">
        <x:v>التدفقات دون الأرض</x:v>
      </x:c>
      <x:c r="B51" s="95" t="n">
        <x:f>-('School - CAPEX'!$B$19*(1-'Dynamic Inputs'!$B$29))</x:f>
        <x:v>-1872000</x:v>
      </x:c>
      <x:c r="C51" s="95" t="n">
        <x:f>B50</x:f>
        <x:v>-300251.9</x:v>
      </x:c>
      <x:c r="D51" s="95" t="n">
        <x:f>C50</x:f>
        <x:v>-150168.45999999996</x:v>
      </x:c>
      <x:c r="E51" s="95" t="n">
        <x:f>D50</x:f>
        <x:v>-64383.42399999991</x:v>
      </x:c>
      <x:c r="F51" s="95" t="n">
        <x:f>E50</x:f>
        <x:v>6490.011776000043</x:v>
      </x:c>
      <x:c r="G51" s="95" t="n">
        <x:f>F50</x:f>
        <x:v>51973.21853120001</x:v>
      </x:c>
      <x:c r="H51" s="95" t="n">
        <x:f>G50</x:f>
        <x:v>80598.97008141446</x:v>
      </x:c>
      <x:c r="I51" s="95" t="n">
        <x:f>H50</x:f>
        <x:v>100000.66349260736</x:v>
      </x:c>
      <x:c r="J51" s="95" t="n">
        <x:f>I50</x:f>
        <x:v>109691.82782132941</x:v>
      </x:c>
      <x:c r="K51" s="95" t="n">
        <x:f>J50</x:f>
        <x:v>113427.75688108231</x:v>
      </x:c>
      <x:c r="L51" s="95" t="n">
        <x:f>K50</x:f>
        <x:v>1123351.0688650846</x:v>
      </x:c>
    </x:row>
    <x:row r="52">
      <x:c r="A52" s="96" t="str">
        <x:v>التدفقات مع الأرض</x:v>
      </x:c>
      <x:c r="B52" s="95" t="n">
        <x:f>-('School - CAPEX'!$B$21-('School - CAPEX'!$B$19*'Dynamic Inputs'!$B$29))</x:f>
        <x:v>-2672000</x:v>
      </x:c>
      <x:c r="C52" s="95" t="n">
        <x:f>B50</x:f>
        <x:v>-300251.9</x:v>
      </x:c>
      <x:c r="D52" s="95" t="n">
        <x:f>C50</x:f>
        <x:v>-150168.45999999996</x:v>
      </x:c>
      <x:c r="E52" s="95" t="n">
        <x:f>D50</x:f>
        <x:v>-64383.42399999991</x:v>
      </x:c>
      <x:c r="F52" s="95" t="n">
        <x:f>E50</x:f>
        <x:v>6490.011776000043</x:v>
      </x:c>
      <x:c r="G52" s="95" t="n">
        <x:f>F50</x:f>
        <x:v>51973.21853120001</x:v>
      </x:c>
      <x:c r="H52" s="95" t="n">
        <x:f>G50</x:f>
        <x:v>80598.97008141446</x:v>
      </x:c>
      <x:c r="I52" s="95" t="n">
        <x:f>H50</x:f>
        <x:v>100000.66349260736</x:v>
      </x:c>
      <x:c r="J52" s="95" t="n">
        <x:f>I50</x:f>
        <x:v>109691.82782132941</x:v>
      </x:c>
      <x:c r="K52" s="95" t="n">
        <x:f>J50</x:f>
        <x:v>113427.75688108231</x:v>
      </x:c>
      <x:c r="L52" s="95" t="n">
        <x:f>K50</x:f>
        <x:v>1123351.0688650846</x:v>
      </x:c>
    </x:row>
    <x:row r="53">
      <x:c r="A53" s="96" t="str">
        <x:v>التراكمي دون الأرض</x:v>
      </x:c>
      <x:c r="B53" s="95" t="n">
        <x:f>B51</x:f>
        <x:v>-1872000</x:v>
      </x:c>
      <x:c r="C53" s="95" t="n">
        <x:f>B53+C51</x:f>
        <x:v>-2172251.9</x:v>
      </x:c>
      <x:c r="D53" s="95" t="n">
        <x:f>C53+D51</x:f>
        <x:v>-2322420.36</x:v>
      </x:c>
      <x:c r="E53" s="95" t="n">
        <x:f>D53+E51</x:f>
        <x:v>-2386803.784</x:v>
      </x:c>
      <x:c r="F53" s="95" t="n">
        <x:f>E53+F51</x:f>
        <x:v>-2380313.7722239997</x:v>
      </x:c>
      <x:c r="G53" s="95" t="n">
        <x:f>F53+G51</x:f>
        <x:v>-2328340.5536927995</x:v>
      </x:c>
      <x:c r="H53" s="95" t="n">
        <x:f>G53+H51</x:f>
        <x:v>-2247741.583611385</x:v>
      </x:c>
      <x:c r="I53" s="95" t="n">
        <x:f>H53+I51</x:f>
        <x:v>-2147740.9201187775</x:v>
      </x:c>
      <x:c r="J53" s="95" t="n">
        <x:f>I53+J51</x:f>
        <x:v>-2038049.092297448</x:v>
      </x:c>
      <x:c r="K53" s="95" t="n">
        <x:f>J53+K51</x:f>
        <x:v>-1924621.3354163659</x:v>
      </x:c>
      <x:c r="L53" s="95" t="n">
        <x:f>K53+L51</x:f>
        <x:v>-801270.2665512813</x:v>
      </x:c>
    </x:row>
    <x:row r="54">
      <x:c r="A54" s="96" t="str">
        <x:v>التراكمي مع الأرض</x:v>
      </x:c>
      <x:c r="B54" s="95" t="n">
        <x:f>B52</x:f>
        <x:v>-2672000</x:v>
      </x:c>
      <x:c r="C54" s="95" t="n">
        <x:f>B54+C52</x:f>
        <x:v>-2972251.9</x:v>
      </x:c>
      <x:c r="D54" s="95" t="n">
        <x:f>C54+D52</x:f>
        <x:v>-3122420.36</x:v>
      </x:c>
      <x:c r="E54" s="95" t="n">
        <x:f>D54+E52</x:f>
        <x:v>-3186803.784</x:v>
      </x:c>
      <x:c r="F54" s="95" t="n">
        <x:f>E54+F52</x:f>
        <x:v>-3180313.7722239997</x:v>
      </x:c>
      <x:c r="G54" s="95" t="n">
        <x:f>F54+G52</x:f>
        <x:v>-3128340.5536927995</x:v>
      </x:c>
      <x:c r="H54" s="95" t="n">
        <x:f>G54+H52</x:f>
        <x:v>-3047741.583611385</x:v>
      </x:c>
      <x:c r="I54" s="95" t="n">
        <x:f>H54+I52</x:f>
        <x:v>-2947740.9201187775</x:v>
      </x:c>
      <x:c r="J54" s="95" t="n">
        <x:f>I54+J52</x:f>
        <x:v>-2838049.0922974483</x:v>
      </x:c>
      <x:c r="K54" s="95" t="n">
        <x:f>J54+K52</x:f>
        <x:v>-2724621.335416366</x:v>
      </x:c>
      <x:c r="L54" s="95" t="n">
        <x:f>K54+L52</x:f>
        <x:v>-1601270.2665512813</x:v>
      </x:c>
    </x:row>
  </x:sheetData>
  <x:mergeCells>
    <x:mergeCell ref="A1:L1"/>
  </x:mergeCells>
  <x:conditionalFormatting sqref="A17:F21">
    <x:cfRule type="expression" dxfId="2" priority="1">
      <x:formula>$C17&lt;0</x:formula>
    </x:cfRule>
  </x:conditionalFormatting>
  <x:pageMargins left="0.7" right="0.7" top="0.75" bottom="0.75" header="0.3" footer="0.3"/>
  <x:drawing xmlns:r="http://schemas.openxmlformats.org/officeDocument/2006/relationships" r:id="R5285e8534fd7415d"/>
</x:worksheet>
</file>

<file path=xl/worksheets/sheet11.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18" hidden="0" customWidth="1"/>
    <x:col min="5" max="5" width="18" hidden="0" customWidth="1"/>
    <x:col min="6" max="6" width="17" hidden="0" customWidth="1"/>
    <x:col min="7" max="7" width="17" hidden="0" customWidth="1"/>
    <x:col min="8" max="8" width="16" hidden="0" customWidth="1"/>
    <x:col min="9" max="9" width="17" hidden="0" customWidth="1"/>
    <x:col min="10" max="10" width="20" hidden="0" customWidth="1"/>
  </x:cols>
  <x:sheetData>
    <x:row r="1">
      <x:c r="A1" s="29" t="str">
        <x:v>هيكل الموظفين وتكلفة العمالة - كوفي هاوس</x:v>
      </x:c>
      <x:c r="B1" s="29"/>
      <x:c r="C1" s="29"/>
      <x:c r="D1" s="29"/>
      <x:c r="E1" s="29"/>
      <x:c r="F1" s="29"/>
      <x:c r="G1" s="29"/>
      <x:c r="H1" s="29"/>
      <x:c r="I1" s="29"/>
      <x:c r="J1" s="29"/>
    </x:row>
    <x:row r="3">
      <x:c r="A3" s="19" t="str">
        <x:v>القسم</x:v>
      </x:c>
      <x:c r="B3" s="19" t="str">
        <x:v>المسمى الوظيفي</x:v>
      </x:c>
      <x:c r="C3" s="19" t="str">
        <x:v>العدد</x:v>
      </x:c>
      <x:c r="D3" s="19" t="str">
        <x:v>الراتب الشهري للفرد</x:v>
      </x:c>
      <x:c r="E3" s="19" t="str">
        <x:v>الراتب الشهري الإجمالي</x:v>
      </x:c>
      <x:c r="F3" s="19" t="str">
        <x:v>الراتب السنوي</x:v>
      </x:c>
      <x:c r="G3" s="19" t="str">
        <x:v>ضمان صاحب العمل</x:v>
      </x:c>
      <x:c r="H3" s="19" t="str">
        <x:v>تأمين/مزايا</x:v>
      </x:c>
      <x:c r="I3" s="19" t="str">
        <x:v>إضافي واستبدال</x:v>
      </x:c>
      <x:c r="J3" s="19" t="str">
        <x:v>الكلفة السنوية الكاملة</x:v>
      </x:c>
    </x:row>
    <x:row r="4">
      <x:c r="A4" t="str">
        <x:v>الإدارة</x:v>
      </x:c>
      <x:c r="B4" t="str">
        <x:v>مدير تشغيل</x:v>
      </x:c>
      <x:c r="C4" s="71" t="n">
        <x:v>1</x:v>
      </x:c>
      <x:c r="D4" s="82" t="n">
        <x:v>1800</x:v>
      </x:c>
      <x:c r="E4" s="84" t="n">
        <x:f>C4*D4</x:f>
        <x:v>1800</x:v>
      </x:c>
      <x:c r="F4" s="84" t="n">
        <x:f>E4*12</x:f>
        <x:v>21600</x:v>
      </x:c>
      <x:c r="G4" s="84" t="n">
        <x:f>F4*'General Assumptions'!$B$8</x:f>
        <x:v>3077.9999999999995</x:v>
      </x:c>
      <x:c r="H4" s="84" t="n">
        <x:f>F4*'General Assumptions'!$B$13</x:f>
        <x:v>972</x:v>
      </x:c>
      <x:c r="I4" s="84" t="n">
        <x:f>F4*IF(OR(A4="التشغيل",A4="المطبخ",A4="الخدمة",A4="خدمات",A4="نقل"),'General Assumptions'!$B$14,'General Assumptions'!$B$15)</x:f>
        <x:v>324</x:v>
      </x:c>
      <x:c r="J4" s="84" t="n">
        <x:f>SUM(F4:I4)</x:f>
        <x:v>25974</x:v>
      </x:c>
    </x:row>
    <x:row r="5">
      <x:c r="A5" t="str">
        <x:v>الإدارة</x:v>
      </x:c>
      <x:c r="B5" t="str">
        <x:v>مساعد مدير</x:v>
      </x:c>
      <x:c r="C5" s="71" t="n">
        <x:v>1</x:v>
      </x:c>
      <x:c r="D5" s="82" t="n">
        <x:v>1000</x:v>
      </x:c>
      <x:c r="E5" s="84" t="n">
        <x:f>C5*D5</x:f>
        <x:v>1000</x:v>
      </x:c>
      <x:c r="F5" s="84" t="n">
        <x:f>E5*12</x:f>
        <x:v>12000</x:v>
      </x:c>
      <x:c r="G5" s="84" t="n">
        <x:f>F5*'General Assumptions'!$B$8</x:f>
        <x:v>1709.9999999999998</x:v>
      </x:c>
      <x:c r="H5" s="84" t="n">
        <x:f>F5*'General Assumptions'!$B$13</x:f>
        <x:v>540</x:v>
      </x:c>
      <x:c r="I5" s="84" t="n">
        <x:f>F5*IF(OR(A5="التشغيل",A5="المطبخ",A5="الخدمة",A5="خدمات",A5="نقل"),'General Assumptions'!$B$14,'General Assumptions'!$B$15)</x:f>
        <x:v>180</x:v>
      </x:c>
      <x:c r="J5" s="84" t="n">
        <x:f>SUM(F5:I5)</x:f>
        <x:v>14430</x:v>
      </x:c>
    </x:row>
    <x:row r="6">
      <x:c r="A6" t="str">
        <x:v>الإدارة</x:v>
      </x:c>
      <x:c r="B6" t="str">
        <x:v>مشرف وردية</x:v>
      </x:c>
      <x:c r="C6" s="71" t="n">
        <x:v>3</x:v>
      </x:c>
      <x:c r="D6" s="82" t="n">
        <x:v>750</x:v>
      </x:c>
      <x:c r="E6" s="84" t="n">
        <x:f>C6*D6</x:f>
        <x:v>2250</x:v>
      </x:c>
      <x:c r="F6" s="84" t="n">
        <x:f>E6*12</x:f>
        <x:v>27000</x:v>
      </x:c>
      <x:c r="G6" s="84" t="n">
        <x:f>F6*'General Assumptions'!$B$8</x:f>
        <x:v>3847.4999999999995</x:v>
      </x:c>
      <x:c r="H6" s="84" t="n">
        <x:f>F6*'General Assumptions'!$B$13</x:f>
        <x:v>1215</x:v>
      </x:c>
      <x:c r="I6" s="84" t="n">
        <x:f>F6*IF(OR(A6="التشغيل",A6="المطبخ",A6="الخدمة",A6="خدمات",A6="نقل"),'General Assumptions'!$B$14,'General Assumptions'!$B$15)</x:f>
        <x:v>405</x:v>
      </x:c>
      <x:c r="J6" s="84" t="n">
        <x:f>SUM(F6:I6)</x:f>
        <x:v>32467.5</x:v>
      </x:c>
    </x:row>
    <x:row r="7">
      <x:c r="A7" t="str">
        <x:v>التشغيل</x:v>
      </x:c>
      <x:c r="B7" t="str">
        <x:v>رئيس باريستا</x:v>
      </x:c>
      <x:c r="C7" s="71" t="n">
        <x:v>1</x:v>
      </x:c>
      <x:c r="D7" s="82" t="n">
        <x:v>650</x:v>
      </x:c>
      <x:c r="E7" s="84" t="n">
        <x:f>C7*D7</x:f>
        <x:v>650</x:v>
      </x:c>
      <x:c r="F7" s="84" t="n">
        <x:f>E7*12</x:f>
        <x:v>7800</x:v>
      </x:c>
      <x:c r="G7" s="84" t="n">
        <x:f>F7*'General Assumptions'!$B$8</x:f>
        <x:v>1111.5</x:v>
      </x:c>
      <x:c r="H7" s="84" t="n">
        <x:f>F7*'General Assumptions'!$B$13</x:f>
        <x:v>351</x:v>
      </x:c>
      <x:c r="I7" s="84" t="n">
        <x:f>F7*IF(OR(A7="التشغيل",A7="المطبخ",A7="الخدمة",A7="خدمات",A7="نقل"),'General Assumptions'!$B$14,'General Assumptions'!$B$15)</x:f>
        <x:v>273</x:v>
      </x:c>
      <x:c r="J7" s="84" t="n">
        <x:f>SUM(F7:I7)</x:f>
        <x:v>9535.5</x:v>
      </x:c>
    </x:row>
    <x:row r="8">
      <x:c r="A8" t="str">
        <x:v>التشغيل</x:v>
      </x:c>
      <x:c r="B8" t="str">
        <x:v>باريستا</x:v>
      </x:c>
      <x:c r="C8" s="71" t="n">
        <x:v>9</x:v>
      </x:c>
      <x:c r="D8" s="82" t="n">
        <x:v>425</x:v>
      </x:c>
      <x:c r="E8" s="84" t="n">
        <x:f>C8*D8</x:f>
        <x:v>3825</x:v>
      </x:c>
      <x:c r="F8" s="84" t="n">
        <x:f>E8*12</x:f>
        <x:v>45900</x:v>
      </x:c>
      <x:c r="G8" s="84" t="n">
        <x:f>F8*'General Assumptions'!$B$8</x:f>
        <x:v>6540.749999999999</x:v>
      </x:c>
      <x:c r="H8" s="84" t="n">
        <x:f>F8*'General Assumptions'!$B$13</x:f>
        <x:v>2065.5</x:v>
      </x:c>
      <x:c r="I8" s="84" t="n">
        <x:f>F8*IF(OR(A8="التشغيل",A8="المطبخ",A8="الخدمة",A8="خدمات",A8="نقل"),'General Assumptions'!$B$14,'General Assumptions'!$B$15)</x:f>
        <x:v>1606.5000000000002</x:v>
      </x:c>
      <x:c r="J8" s="84" t="n">
        <x:f>SUM(F8:I8)</x:f>
        <x:v>56112.75</x:v>
      </x:c>
    </x:row>
    <x:row r="9">
      <x:c r="A9" t="str">
        <x:v>التشغيل</x:v>
      </x:c>
      <x:c r="B9" t="str">
        <x:v>كاشير</x:v>
      </x:c>
      <x:c r="C9" s="71" t="n">
        <x:v>3</x:v>
      </x:c>
      <x:c r="D9" s="82" t="n">
        <x:v>400</x:v>
      </x:c>
      <x:c r="E9" s="84" t="n">
        <x:f>C9*D9</x:f>
        <x:v>1200</x:v>
      </x:c>
      <x:c r="F9" s="84" t="n">
        <x:f>E9*12</x:f>
        <x:v>14400</x:v>
      </x:c>
      <x:c r="G9" s="84" t="n">
        <x:f>F9*'General Assumptions'!$B$8</x:f>
        <x:v>2052</x:v>
      </x:c>
      <x:c r="H9" s="84" t="n">
        <x:f>F9*'General Assumptions'!$B$13</x:f>
        <x:v>648</x:v>
      </x:c>
      <x:c r="I9" s="84" t="n">
        <x:f>F9*IF(OR(A9="التشغيل",A9="المطبخ",A9="الخدمة",A9="خدمات",A9="نقل"),'General Assumptions'!$B$14,'General Assumptions'!$B$15)</x:f>
        <x:v>504.00000000000006</x:v>
      </x:c>
      <x:c r="J9" s="84" t="n">
        <x:f>SUM(F9:I9)</x:f>
        <x:v>17604</x:v>
      </x:c>
    </x:row>
    <x:row r="10">
      <x:c r="A10" t="str">
        <x:v>المطبخ</x:v>
      </x:c>
      <x:c r="B10" t="str">
        <x:v>شيف تنفيذي</x:v>
      </x:c>
      <x:c r="C10" s="71" t="n">
        <x:v>1</x:v>
      </x:c>
      <x:c r="D10" s="82" t="n">
        <x:v>1200</x:v>
      </x:c>
      <x:c r="E10" s="84" t="n">
        <x:f>C10*D10</x:f>
        <x:v>1200</x:v>
      </x:c>
      <x:c r="F10" s="84" t="n">
        <x:f>E10*12</x:f>
        <x:v>14400</x:v>
      </x:c>
      <x:c r="G10" s="84" t="n">
        <x:f>F10*'General Assumptions'!$B$8</x:f>
        <x:v>2052</x:v>
      </x:c>
      <x:c r="H10" s="84" t="n">
        <x:f>F10*'General Assumptions'!$B$13</x:f>
        <x:v>648</x:v>
      </x:c>
      <x:c r="I10" s="84" t="n">
        <x:f>F10*IF(OR(A10="التشغيل",A10="المطبخ",A10="الخدمة",A10="خدمات",A10="نقل"),'General Assumptions'!$B$14,'General Assumptions'!$B$15)</x:f>
        <x:v>504.00000000000006</x:v>
      </x:c>
      <x:c r="J10" s="84" t="n">
        <x:f>SUM(F10:I10)</x:f>
        <x:v>17604</x:v>
      </x:c>
    </x:row>
    <x:row r="11">
      <x:c r="A11" t="str">
        <x:v>المطبخ</x:v>
      </x:c>
      <x:c r="B11" t="str">
        <x:v>طاهٍ</x:v>
      </x:c>
      <x:c r="C11" s="71" t="n">
        <x:v>3</x:v>
      </x:c>
      <x:c r="D11" s="82" t="n">
        <x:v>650</x:v>
      </x:c>
      <x:c r="E11" s="84" t="n">
        <x:f>C11*D11</x:f>
        <x:v>1950</x:v>
      </x:c>
      <x:c r="F11" s="84" t="n">
        <x:f>E11*12</x:f>
        <x:v>23400</x:v>
      </x:c>
      <x:c r="G11" s="84" t="n">
        <x:f>F11*'General Assumptions'!$B$8</x:f>
        <x:v>3334.4999999999995</x:v>
      </x:c>
      <x:c r="H11" s="84" t="n">
        <x:f>F11*'General Assumptions'!$B$13</x:f>
        <x:v>1053</x:v>
      </x:c>
      <x:c r="I11" s="84" t="n">
        <x:f>F11*IF(OR(A11="التشغيل",A11="المطبخ",A11="الخدمة",A11="خدمات",A11="نقل"),'General Assumptions'!$B$14,'General Assumptions'!$B$15)</x:f>
        <x:v>819.0000000000001</x:v>
      </x:c>
      <x:c r="J11" s="84" t="n">
        <x:f>SUM(F11:I11)</x:f>
        <x:v>28606.5</x:v>
      </x:c>
    </x:row>
    <x:row r="12">
      <x:c r="A12" t="str">
        <x:v>المطبخ</x:v>
      </x:c>
      <x:c r="B12" t="str">
        <x:v>عامل تحضير وغسيل</x:v>
      </x:c>
      <x:c r="C12" s="71" t="n">
        <x:v>4</x:v>
      </x:c>
      <x:c r="D12" s="82" t="n">
        <x:v>375</x:v>
      </x:c>
      <x:c r="E12" s="84" t="n">
        <x:f>C12*D12</x:f>
        <x:v>1500</x:v>
      </x:c>
      <x:c r="F12" s="84" t="n">
        <x:f>E12*12</x:f>
        <x:v>18000</x:v>
      </x:c>
      <x:c r="G12" s="84" t="n">
        <x:f>F12*'General Assumptions'!$B$8</x:f>
        <x:v>2565</x:v>
      </x:c>
      <x:c r="H12" s="84" t="n">
        <x:f>F12*'General Assumptions'!$B$13</x:f>
        <x:v>810</x:v>
      </x:c>
      <x:c r="I12" s="84" t="n">
        <x:f>F12*IF(OR(A12="التشغيل",A12="المطبخ",A12="الخدمة",A12="خدمات",A12="نقل"),'General Assumptions'!$B$14,'General Assumptions'!$B$15)</x:f>
        <x:v>630.0000000000001</x:v>
      </x:c>
      <x:c r="J12" s="84" t="n">
        <x:f>SUM(F12:I12)</x:f>
        <x:v>22005</x:v>
      </x:c>
    </x:row>
    <x:row r="13">
      <x:c r="A13" t="str">
        <x:v>الخدمة</x:v>
      </x:c>
      <x:c r="B13" t="str">
        <x:v>مقدم خدمة</x:v>
      </x:c>
      <x:c r="C13" s="71" t="n">
        <x:v>8</x:v>
      </x:c>
      <x:c r="D13" s="82" t="n">
        <x:v>375</x:v>
      </x:c>
      <x:c r="E13" s="84" t="n">
        <x:f>C13*D13</x:f>
        <x:v>3000</x:v>
      </x:c>
      <x:c r="F13" s="84" t="n">
        <x:f>E13*12</x:f>
        <x:v>36000</x:v>
      </x:c>
      <x:c r="G13" s="84" t="n">
        <x:f>F13*'General Assumptions'!$B$8</x:f>
        <x:v>5130</x:v>
      </x:c>
      <x:c r="H13" s="84" t="n">
        <x:f>F13*'General Assumptions'!$B$13</x:f>
        <x:v>1620</x:v>
      </x:c>
      <x:c r="I13" s="84" t="n">
        <x:f>F13*IF(OR(A13="التشغيل",A13="المطبخ",A13="الخدمة",A13="خدمات",A13="نقل"),'General Assumptions'!$B$14,'General Assumptions'!$B$15)</x:f>
        <x:v>1260.0000000000002</x:v>
      </x:c>
      <x:c r="J13" s="84" t="n">
        <x:f>SUM(F13:I13)</x:f>
        <x:v>44010</x:v>
      </x:c>
    </x:row>
    <x:row r="14">
      <x:c r="A14" t="str">
        <x:v>الخدمة</x:v>
      </x:c>
      <x:c r="B14" t="str">
        <x:v>مضيف/استقبال</x:v>
      </x:c>
      <x:c r="C14" s="71" t="n">
        <x:v>2</x:v>
      </x:c>
      <x:c r="D14" s="82" t="n">
        <x:v>425</x:v>
      </x:c>
      <x:c r="E14" s="84" t="n">
        <x:f>C14*D14</x:f>
        <x:v>850</x:v>
      </x:c>
      <x:c r="F14" s="84" t="n">
        <x:f>E14*12</x:f>
        <x:v>10200</x:v>
      </x:c>
      <x:c r="G14" s="84" t="n">
        <x:f>F14*'General Assumptions'!$B$8</x:f>
        <x:v>1453.4999999999998</x:v>
      </x:c>
      <x:c r="H14" s="84" t="n">
        <x:f>F14*'General Assumptions'!$B$13</x:f>
        <x:v>459</x:v>
      </x:c>
      <x:c r="I14" s="84" t="n">
        <x:f>F14*IF(OR(A14="التشغيل",A14="المطبخ",A14="الخدمة",A14="خدمات",A14="نقل"),'General Assumptions'!$B$14,'General Assumptions'!$B$15)</x:f>
        <x:v>357.00000000000006</x:v>
      </x:c>
      <x:c r="J14" s="84" t="n">
        <x:f>SUM(F14:I14)</x:f>
        <x:v>12469.5</x:v>
      </x:c>
    </x:row>
    <x:row r="15">
      <x:c r="A15" t="str">
        <x:v>الدعم</x:v>
      </x:c>
      <x:c r="B15" t="str">
        <x:v>مسؤول مخزون ومشتريات</x:v>
      </x:c>
      <x:c r="C15" s="71" t="n">
        <x:v>1</x:v>
      </x:c>
      <x:c r="D15" s="82" t="n">
        <x:v>600</x:v>
      </x:c>
      <x:c r="E15" s="84" t="n">
        <x:f>C15*D15</x:f>
        <x:v>600</x:v>
      </x:c>
      <x:c r="F15" s="84" t="n">
        <x:f>E15*12</x:f>
        <x:v>7200</x:v>
      </x:c>
      <x:c r="G15" s="84" t="n">
        <x:f>F15*'General Assumptions'!$B$8</x:f>
        <x:v>1026</x:v>
      </x:c>
      <x:c r="H15" s="84" t="n">
        <x:f>F15*'General Assumptions'!$B$13</x:f>
        <x:v>324</x:v>
      </x:c>
      <x:c r="I15" s="84" t="n">
        <x:f>F15*IF(OR(A15="التشغيل",A15="المطبخ",A15="الخدمة",A15="خدمات",A15="نقل"),'General Assumptions'!$B$14,'General Assumptions'!$B$15)</x:f>
        <x:v>108</x:v>
      </x:c>
      <x:c r="J15" s="84" t="n">
        <x:f>SUM(F15:I15)</x:f>
        <x:v>8658</x:v>
      </x:c>
    </x:row>
    <x:row r="16">
      <x:c r="A16" t="str">
        <x:v>الدعم</x:v>
      </x:c>
      <x:c r="B16" t="str">
        <x:v>عامل نظافة</x:v>
      </x:c>
      <x:c r="C16" s="71" t="n">
        <x:v>4</x:v>
      </x:c>
      <x:c r="D16" s="82" t="n">
        <x:v>325</x:v>
      </x:c>
      <x:c r="E16" s="84" t="n">
        <x:f>C16*D16</x:f>
        <x:v>1300</x:v>
      </x:c>
      <x:c r="F16" s="84" t="n">
        <x:f>E16*12</x:f>
        <x:v>15600</x:v>
      </x:c>
      <x:c r="G16" s="84" t="n">
        <x:f>F16*'General Assumptions'!$B$8</x:f>
        <x:v>2223</x:v>
      </x:c>
      <x:c r="H16" s="84" t="n">
        <x:f>F16*'General Assumptions'!$B$13</x:f>
        <x:v>702</x:v>
      </x:c>
      <x:c r="I16" s="84" t="n">
        <x:f>F16*IF(OR(A16="التشغيل",A16="المطبخ",A16="الخدمة",A16="خدمات",A16="نقل"),'General Assumptions'!$B$14,'General Assumptions'!$B$15)</x:f>
        <x:v>234</x:v>
      </x:c>
      <x:c r="J16" s="84" t="n">
        <x:f>SUM(F16:I16)</x:f>
        <x:v>18759</x:v>
      </x:c>
    </x:row>
    <x:row r="17">
      <x:c r="A17" t="str">
        <x:v>الدعم</x:v>
      </x:c>
      <x:c r="B17" t="str">
        <x:v>حارس أمن</x:v>
      </x:c>
      <x:c r="C17" s="71" t="n">
        <x:v>2</x:v>
      </x:c>
      <x:c r="D17" s="82" t="n">
        <x:v>350</x:v>
      </x:c>
      <x:c r="E17" s="84" t="n">
        <x:f>C17*D17</x:f>
        <x:v>700</x:v>
      </x:c>
      <x:c r="F17" s="84" t="n">
        <x:f>E17*12</x:f>
        <x:v>8400</x:v>
      </x:c>
      <x:c r="G17" s="84" t="n">
        <x:f>F17*'General Assumptions'!$B$8</x:f>
        <x:v>1197</x:v>
      </x:c>
      <x:c r="H17" s="84" t="n">
        <x:f>F17*'General Assumptions'!$B$13</x:f>
        <x:v>378</x:v>
      </x:c>
      <x:c r="I17" s="84" t="n">
        <x:f>F17*IF(OR(A17="التشغيل",A17="المطبخ",A17="الخدمة",A17="خدمات",A17="نقل"),'General Assumptions'!$B$14,'General Assumptions'!$B$15)</x:f>
        <x:v>126</x:v>
      </x:c>
      <x:c r="J17" s="84" t="n">
        <x:f>SUM(F17:I17)</x:f>
        <x:v>10101</x:v>
      </x:c>
    </x:row>
    <x:row r="18">
      <x:c r="A18" t="str">
        <x:v>الإدارة</x:v>
      </x:c>
      <x:c r="B18" t="str">
        <x:v>محاسب</x:v>
      </x:c>
      <x:c r="C18" s="71" t="n">
        <x:v>1</x:v>
      </x:c>
      <x:c r="D18" s="82" t="n">
        <x:v>650</x:v>
      </x:c>
      <x:c r="E18" s="84" t="n">
        <x:f>C18*D18</x:f>
        <x:v>650</x:v>
      </x:c>
      <x:c r="F18" s="84" t="n">
        <x:f>E18*12</x:f>
        <x:v>7800</x:v>
      </x:c>
      <x:c r="G18" s="84" t="n">
        <x:f>F18*'General Assumptions'!$B$8</x:f>
        <x:v>1111.5</x:v>
      </x:c>
      <x:c r="H18" s="84" t="n">
        <x:f>F18*'General Assumptions'!$B$13</x:f>
        <x:v>351</x:v>
      </x:c>
      <x:c r="I18" s="84" t="n">
        <x:f>F18*IF(OR(A18="التشغيل",A18="المطبخ",A18="الخدمة",A18="خدمات",A18="نقل"),'General Assumptions'!$B$14,'General Assumptions'!$B$15)</x:f>
        <x:v>117</x:v>
      </x:c>
      <x:c r="J18" s="84" t="n">
        <x:f>SUM(F18:I18)</x:f>
        <x:v>9379.5</x:v>
      </x:c>
    </x:row>
    <x:row r="19">
      <x:c r="A19" t="str">
        <x:v>التسويق</x:v>
      </x:c>
      <x:c r="B19" t="str">
        <x:v>مسؤول تسويق وفعاليات</x:v>
      </x:c>
      <x:c r="C19" s="71" t="n">
        <x:v>1</x:v>
      </x:c>
      <x:c r="D19" s="82" t="n">
        <x:v>700</x:v>
      </x:c>
      <x:c r="E19" s="84" t="n">
        <x:f>C19*D19</x:f>
        <x:v>700</x:v>
      </x:c>
      <x:c r="F19" s="84" t="n">
        <x:f>E19*12</x:f>
        <x:v>8400</x:v>
      </x:c>
      <x:c r="G19" s="84" t="n">
        <x:f>F19*'General Assumptions'!$B$8</x:f>
        <x:v>1197</x:v>
      </x:c>
      <x:c r="H19" s="84" t="n">
        <x:f>F19*'General Assumptions'!$B$13</x:f>
        <x:v>378</x:v>
      </x:c>
      <x:c r="I19" s="84" t="n">
        <x:f>F19*IF(OR(A19="التشغيل",A19="المطبخ",A19="الخدمة",A19="خدمات",A19="نقل"),'General Assumptions'!$B$14,'General Assumptions'!$B$15)</x:f>
        <x:v>126</x:v>
      </x:c>
      <x:c r="J19" s="84" t="n">
        <x:f>SUM(F19:I19)</x:f>
        <x:v>10101</x:v>
      </x:c>
    </x:row>
    <x:row r="20">
      <x:c r="A20" s="52" t="str">
        <x:v>إجمالي تكلفة العمالة السنوية</x:v>
      </x:c>
      <x:c r="B20" s="52"/>
      <x:c r="C20" s="52"/>
      <x:c r="D20" s="52"/>
      <x:c r="E20" s="52"/>
      <x:c r="F20" s="52"/>
      <x:c r="G20" s="52"/>
      <x:c r="H20" s="52"/>
      <x:c r="I20" s="52"/>
      <x:c r="J20" s="85" t="n">
        <x:f>SUM(J4:J19)</x:f>
        <x:v>337817.25</x:v>
      </x:c>
    </x:row>
    <x:row r="22">
      <x:c r="A22" s="57" t="str">
        <x:v>ملاحظة: الكلفة الكاملة تشمل الراتب الأساسي، حصة صاحب العمل في الضمان، مخصص التأمين والمزايا، والعمل الإضافي أو الاستبدال. لا تشمل الإكراميات أو عمولات اختيارية غير مضمونة.</x:v>
      </x:c>
      <x:c r="B22" s="57"/>
      <x:c r="C22" s="57"/>
      <x:c r="D22" s="57"/>
      <x:c r="E22" s="57"/>
      <x:c r="F22" s="57"/>
      <x:c r="G22" s="57"/>
      <x:c r="H22" s="57"/>
      <x:c r="I22" s="57"/>
      <x:c r="J22" s="57"/>
    </x:row>
    <x:row r="23">
      <x:c r="A23" s="57"/>
      <x:c r="B23" s="57"/>
      <x:c r="C23" s="57"/>
      <x:c r="D23" s="57"/>
      <x:c r="E23" s="57"/>
      <x:c r="F23" s="57"/>
      <x:c r="G23" s="57"/>
      <x:c r="H23" s="57"/>
      <x:c r="I23" s="57"/>
      <x:c r="J23" s="57"/>
    </x:row>
    <x:row r="24">
      <x:c r="A24" s="57"/>
      <x:c r="B24" s="57"/>
      <x:c r="C24" s="57"/>
      <x:c r="D24" s="57"/>
      <x:c r="E24" s="57"/>
      <x:c r="F24" s="57"/>
      <x:c r="G24" s="57"/>
      <x:c r="H24" s="57"/>
      <x:c r="I24" s="57"/>
      <x:c r="J24" s="57"/>
    </x:row>
  </x:sheetData>
  <x:mergeCells>
    <x:mergeCell ref="A1:J1"/>
    <x:mergeCell ref="A20:I20"/>
    <x:mergeCell ref="A22:J24"/>
  </x:mergeCells>
  <x:dataValidations count="2">
    <x:dataValidation operator="between" sqref="C4:C19">
      <x:formula1>0</x:formula1>
      <x:formula2>200</x:formula2>
    </x:dataValidation>
    <x:dataValidation type="decimal" operator="between" sqref="D4:D19">
      <x:formula1>0</x:formula1>
      <x:formula2>10000</x:formula2>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38" hidden="0" customWidth="1"/>
    <x:col min="2" max="2" width="18" hidden="0" customWidth="1"/>
    <x:col min="3" max="3" width="16" hidden="0" customWidth="1"/>
    <x:col min="4" max="4" width="20" hidden="0" customWidth="1"/>
    <x:col min="5" max="5" width="38" hidden="0" customWidth="1"/>
  </x:cols>
  <x:sheetData>
    <x:row r="1">
      <x:c r="A1" s="29" t="str">
        <x:v>الاستثمار الأولي - كوفي هاوس</x:v>
      </x:c>
      <x:c r="B1" s="29"/>
      <x:c r="C1" s="29"/>
      <x:c r="D1" s="29"/>
      <x:c r="E1" s="29"/>
    </x:row>
    <x:row r="3">
      <x:c r="A3" s="19" t="str">
        <x:v>البند</x:v>
      </x:c>
      <x:c r="B3" s="19" t="str">
        <x:v>القيمة JOD</x:v>
      </x:c>
      <x:c r="C3" s="19" t="str">
        <x:v>% من الإجمالي</x:v>
      </x:c>
      <x:c r="D3" s="19" t="str">
        <x:v>طبيعة البند</x:v>
      </x:c>
      <x:c r="E3" s="19" t="str">
        <x:v>قرار/ملاحظة</x:v>
      </x:c>
    </x:row>
    <x:row r="4">
      <x:c r="A4" t="str">
        <x:v>دراسات وتصميم وإدارة مشروع</x:v>
      </x:c>
      <x:c r="B4" s="82" t="n">
        <x:v>45000</x:v>
      </x:c>
      <x:c r="C4" s="86" t="n">
        <x:f>IFERROR(B4/$B$18,0)</x:f>
        <x:v>0.061224489795918366</x:v>
      </x:c>
      <x:c r="D4" t="str">
        <x:v>استثماري</x:v>
      </x:c>
      <x:c r="E4" t="str"/>
    </x:row>
    <x:row r="5">
      <x:c r="A5" t="str">
        <x:v>أعمال إنشائية ومدنية</x:v>
      </x:c>
      <x:c r="B5" s="82" t="n">
        <x:v>175000</x:v>
      </x:c>
      <x:c r="C5" s="86" t="n">
        <x:f>IFERROR(B5/$B$18,0)</x:f>
        <x:v>0.23809523809523808</x:v>
      </x:c>
      <x:c r="D5" t="str">
        <x:v>استثماري</x:v>
      </x:c>
      <x:c r="E5" t="str"/>
    </x:row>
    <x:row r="6">
      <x:c r="A6" t="str">
        <x:v>تشطيبات وديكور مميز</x:v>
      </x:c>
      <x:c r="B6" s="82" t="n">
        <x:v>155000</x:v>
      </x:c>
      <x:c r="C6" s="86" t="n">
        <x:f>IFERROR(B6/$B$18,0)</x:f>
        <x:v>0.2108843537414966</x:v>
      </x:c>
      <x:c r="D6" t="str">
        <x:v>استثماري</x:v>
      </x:c>
      <x:c r="E6" t="str"/>
    </x:row>
    <x:row r="7">
      <x:c r="A7" t="str">
        <x:v>معدات قهوة ومشروبات</x:v>
      </x:c>
      <x:c r="B7" s="82" t="n">
        <x:v>58000</x:v>
      </x:c>
      <x:c r="C7" s="86" t="n">
        <x:f>IFERROR(B7/$B$18,0)</x:f>
        <x:v>0.07891156462585033</x:v>
      </x:c>
      <x:c r="D7" t="str">
        <x:v>استثماري</x:v>
      </x:c>
      <x:c r="E7" t="str"/>
    </x:row>
    <x:row r="8">
      <x:c r="A8" t="str">
        <x:v>مطبخ كامل وتبريد</x:v>
      </x:c>
      <x:c r="B8" s="82" t="n">
        <x:v>62000</x:v>
      </x:c>
      <x:c r="C8" s="86" t="n">
        <x:f>IFERROR(B8/$B$18,0)</x:f>
        <x:v>0.08435374149659863</x:v>
      </x:c>
      <x:c r="D8" t="str">
        <x:v>استثماري</x:v>
      </x:c>
      <x:c r="E8" t="str"/>
    </x:row>
    <x:row r="9">
      <x:c r="A9" t="str">
        <x:v>أثاث وتجهيز مناطق جلوس</x:v>
      </x:c>
      <x:c r="B9" s="82" t="n">
        <x:v>58000</x:v>
      </x:c>
      <x:c r="C9" s="86" t="n">
        <x:f>IFERROR(B9/$B$18,0)</x:f>
        <x:v>0.07891156462585033</x:v>
      </x:c>
      <x:c r="D9" t="str">
        <x:v>استثماري</x:v>
      </x:c>
      <x:c r="E9" t="str"/>
    </x:row>
    <x:row r="10">
      <x:c r="A10" t="str">
        <x:v>تكييف وتهوية وعزل صوت</x:v>
      </x:c>
      <x:c r="B10" s="82" t="n">
        <x:v>38000</x:v>
      </x:c>
      <x:c r="C10" s="86" t="n">
        <x:f>IFERROR(B10/$B$18,0)</x:f>
        <x:v>0.05170068027210884</x:v>
      </x:c>
      <x:c r="D10" t="str">
        <x:v>استثماري</x:v>
      </x:c>
      <x:c r="E10" t="str"/>
    </x:row>
    <x:row r="11">
      <x:c r="A11" t="str">
        <x:v>كهرباء وسباكة وسلامة</x:v>
      </x:c>
      <x:c r="B11" s="82" t="n">
        <x:v>25000</x:v>
      </x:c>
      <x:c r="C11" s="86" t="n">
        <x:f>IFERROR(B11/$B$18,0)</x:f>
        <x:v>0.034013605442176874</x:v>
      </x:c>
      <x:c r="D11" t="str">
        <x:v>استثماري</x:v>
      </x:c>
      <x:c r="E11" t="str"/>
    </x:row>
    <x:row r="12">
      <x:c r="A12" t="str">
        <x:v>أنظمة POS وحجز وكاميرات</x:v>
      </x:c>
      <x:c r="B12" s="82" t="n">
        <x:v>12000</x:v>
      </x:c>
      <x:c r="C12" s="86" t="n">
        <x:f>IFERROR(B12/$B$18,0)</x:f>
        <x:v>0.0163265306122449</x:v>
      </x:c>
      <x:c r="D12" t="str">
        <x:v>استثماري</x:v>
      </x:c>
      <x:c r="E12" t="str"/>
    </x:row>
    <x:row r="13">
      <x:c r="A13" t="str">
        <x:v>لوحات وتراس وأعمال خارجية</x:v>
      </x:c>
      <x:c r="B13" s="82" t="n">
        <x:v>15000</x:v>
      </x:c>
      <x:c r="C13" s="86" t="n">
        <x:f>IFERROR(B13/$B$18,0)</x:f>
        <x:v>0.02040816326530612</x:v>
      </x:c>
      <x:c r="D13" t="str">
        <x:v>استثماري</x:v>
      </x:c>
      <x:c r="E13" t="str"/>
    </x:row>
    <x:row r="14">
      <x:c r="A14" t="str">
        <x:v>تسويق وتوظيف قبل الافتتاح</x:v>
      </x:c>
      <x:c r="B14" s="82" t="n">
        <x:v>18000</x:v>
      </x:c>
      <x:c r="C14" s="86" t="n">
        <x:f>IFERROR(B14/$B$18,0)</x:f>
        <x:v>0.024489795918367346</x:v>
      </x:c>
      <x:c r="D14" t="str">
        <x:v>استثماري</x:v>
      </x:c>
      <x:c r="E14" t="str"/>
    </x:row>
    <x:row r="15">
      <x:c r="A15" t="str">
        <x:v>مخزون افتتاحي</x:v>
      </x:c>
      <x:c r="B15" s="82" t="n">
        <x:v>9000</x:v>
      </x:c>
      <x:c r="C15" s="86" t="n">
        <x:f>IFERROR(B15/$B$18,0)</x:f>
        <x:v>0.012244897959183673</x:v>
      </x:c>
      <x:c r="D15" t="str">
        <x:v>تشغيلي افتتاحي</x:v>
      </x:c>
      <x:c r="E15" t="str"/>
    </x:row>
    <x:row r="16">
      <x:c r="A16" t="str">
        <x:v>رأس مال عامل افتتاحي</x:v>
      </x:c>
      <x:c r="B16" s="82" t="n">
        <x:v>32000</x:v>
      </x:c>
      <x:c r="C16" s="86" t="n">
        <x:f>IFERROR(B16/$B$18,0)</x:f>
        <x:v>0.04353741496598639</x:v>
      </x:c>
      <x:c r="D16" t="str">
        <x:v>تشغيلي افتتاحي</x:v>
      </x:c>
      <x:c r="E16" t="str"/>
    </x:row>
    <x:row r="17">
      <x:c r="A17" t="str">
        <x:v>احتياطي تجاوز تكاليف</x:v>
      </x:c>
      <x:c r="B17" s="82" t="n">
        <x:v>33000</x:v>
      </x:c>
      <x:c r="C17" s="86" t="n">
        <x:f>IFERROR(B17/$B$18,0)</x:f>
        <x:v>0.044897959183673466</x:v>
      </x:c>
      <x:c r="D17" t="str">
        <x:v>استثماري</x:v>
      </x:c>
      <x:c r="E17" t="str"/>
    </x:row>
    <x:row r="18">
      <x:c r="A18" s="52" t="str">
        <x:v>الإجمالي دون الأرض</x:v>
      </x:c>
      <x:c r="B18" s="54" t="n">
        <x:f>SUM(B4:B17)</x:f>
        <x:v>735000</x:v>
      </x:c>
      <x:c r="C18" s="52"/>
      <x:c r="D18" s="52"/>
      <x:c r="E18" s="52"/>
    </x:row>
    <x:row r="19">
      <x:c r="A19" t="str">
        <x:v>القيمة الاقتصادية للأرض</x:v>
      </x:c>
      <x:c r="B19" s="87" t="n">
        <x:f>'General Assumptions'!$B$4</x:f>
        <x:v>800000</x:v>
      </x:c>
    </x:row>
    <x:row r="20">
      <x:c r="A20" s="16" t="str">
        <x:v>إجمالي رأس المال الاقتصادي</x:v>
      </x:c>
      <x:c r="B20" s="88" t="n">
        <x:f>SUM(B18:B19)</x:f>
        <x:v>1535000</x:v>
      </x:c>
      <x:c r="C20" s="16"/>
      <x:c r="D20" s="16"/>
      <x:c r="E20" s="16"/>
    </x:row>
  </x:sheetData>
  <x:mergeCells>
    <x:mergeCell ref="A1:E1"/>
  </x:mergeCells>
  <x:pageMargins left="0.7" right="0.7" top="0.75" bottom="0.75" header="0.3" footer="0.3"/>
</x:worksheet>
</file>

<file path=xl/worksheets/sheet13.xml><?xml version="1.0" encoding="utf-8"?>
<x:worksheet xmlns:x="http://schemas.openxmlformats.org/spreadsheetml/2006/main">
  <x:sheetFormatPr defaultRowHeight="15"/>
  <x:cols>
    <x:col min="1" max="1" width="34" hidden="0" customWidth="1"/>
    <x:col min="2" max="2" width="17" hidden="0" customWidth="1"/>
    <x:col min="3" max="3" width="17" hidden="0" customWidth="1"/>
    <x:col min="4" max="4" width="24" hidden="0" customWidth="1"/>
    <x:col min="5" max="5" width="16" hidden="0" customWidth="1"/>
    <x:col min="6" max="6" width="34" hidden="0" customWidth="1"/>
  </x:cols>
  <x:sheetData>
    <x:row r="1">
      <x:c r="A1" s="29" t="str">
        <x:v>المصروفات التشغيلية - كوفي هاوس</x:v>
      </x:c>
      <x:c r="B1" s="29"/>
      <x:c r="C1" s="29"/>
      <x:c r="D1" s="29"/>
      <x:c r="E1" s="29"/>
      <x:c r="F1" s="29"/>
    </x:row>
    <x:row r="3">
      <x:c r="A3" s="19" t="str">
        <x:v>البند</x:v>
      </x:c>
      <x:c r="B3" s="19" t="str">
        <x:v>شهري JOD</x:v>
      </x:c>
      <x:c r="C3" s="19" t="str">
        <x:v>سنوي JOD</x:v>
      </x:c>
      <x:c r="D3" s="19" t="str">
        <x:v>محرك التكلفة</x:v>
      </x:c>
      <x:c r="E3" s="19" t="str">
        <x:v>ثابت/متغير</x:v>
      </x:c>
      <x:c r="F3" s="19" t="str">
        <x:v>ملاحظة</x:v>
      </x:c>
    </x:row>
    <x:row r="4">
      <x:c r="A4" t="str">
        <x:v>كهرباء ومياه وغاز</x:v>
      </x:c>
      <x:c r="B4" s="84" t="n">
        <x:f>C4/12</x:f>
        <x:v>4833.333333333333</x:v>
      </x:c>
      <x:c r="C4" s="82" t="n">
        <x:v>58000</x:v>
      </x:c>
      <x:c r="D4" t="str">
        <x:v>التضخم/الاستخدام</x:v>
      </x:c>
      <x:c r="E4" t="str">
        <x:v>شبه ثابت</x:v>
      </x:c>
      <x:c r="F4" t="str"/>
    </x:row>
    <x:row r="5">
      <x:c r="A5" t="str">
        <x:v>صيانة معدات ومبنى</x:v>
      </x:c>
      <x:c r="B5" s="84" t="n">
        <x:f>C5/12</x:f>
        <x:v>1833.3333333333333</x:v>
      </x:c>
      <x:c r="C5" s="82" t="n">
        <x:v>22000</x:v>
      </x:c>
      <x:c r="D5" t="str">
        <x:v>التضخم/الاستخدام</x:v>
      </x:c>
      <x:c r="E5" t="str">
        <x:v>شبه ثابت</x:v>
      </x:c>
      <x:c r="F5" t="str"/>
    </x:row>
    <x:row r="6">
      <x:c r="A6" t="str">
        <x:v>تسويق وفعاليات</x:v>
      </x:c>
      <x:c r="B6" s="84" t="n">
        <x:f>C6/12</x:f>
        <x:v>3500</x:v>
      </x:c>
      <x:c r="C6" s="82" t="n">
        <x:v>42000</x:v>
      </x:c>
      <x:c r="D6" t="str">
        <x:v>التضخم/الاستخدام</x:v>
      </x:c>
      <x:c r="E6" t="str">
        <x:v>شبه ثابت</x:v>
      </x:c>
      <x:c r="F6" t="str"/>
    </x:row>
    <x:row r="7">
      <x:c r="A7" t="str">
        <x:v>تأمين</x:v>
      </x:c>
      <x:c r="B7" s="84" t="n">
        <x:f>C7/12</x:f>
        <x:v>625</x:v>
      </x:c>
      <x:c r="C7" s="82" t="n">
        <x:v>7500</x:v>
      </x:c>
      <x:c r="D7" t="str">
        <x:v>التضخم/الاستخدام</x:v>
      </x:c>
      <x:c r="E7" t="str">
        <x:v>شبه ثابت</x:v>
      </x:c>
      <x:c r="F7" t="str"/>
    </x:row>
    <x:row r="8">
      <x:c r="A8" t="str">
        <x:v>نظافة ومستهلكات</x:v>
      </x:c>
      <x:c r="B8" s="84" t="n">
        <x:f>C8/12</x:f>
        <x:v>1083.3333333333333</x:v>
      </x:c>
      <x:c r="C8" s="82" t="n">
        <x:v>13000</x:v>
      </x:c>
      <x:c r="D8" t="str">
        <x:v>التضخم/الاستخدام</x:v>
      </x:c>
      <x:c r="E8" t="str">
        <x:v>شبه ثابت</x:v>
      </x:c>
      <x:c r="F8" t="str"/>
    </x:row>
    <x:row r="9">
      <x:c r="A9" t="str">
        <x:v>إنترنت واتصالات وأنظمة</x:v>
      </x:c>
      <x:c r="B9" s="84" t="n">
        <x:f>C9/12</x:f>
        <x:v>666.6666666666666</x:v>
      </x:c>
      <x:c r="C9" s="82" t="n">
        <x:v>8000</x:v>
      </x:c>
      <x:c r="D9" t="str">
        <x:v>التضخم/الاستخدام</x:v>
      </x:c>
      <x:c r="E9" t="str">
        <x:v>شبه ثابت</x:v>
      </x:c>
      <x:c r="F9" t="str"/>
    </x:row>
    <x:row r="10">
      <x:c r="A10" t="str">
        <x:v>رسوم وتجديدات ومهنية</x:v>
      </x:c>
      <x:c r="B10" s="84" t="n">
        <x:f>C10/12</x:f>
        <x:v>708.3333333333334</x:v>
      </x:c>
      <x:c r="C10" s="82" t="n">
        <x:v>8500</x:v>
      </x:c>
      <x:c r="D10" t="str">
        <x:v>التضخم/الاستخدام</x:v>
      </x:c>
      <x:c r="E10" t="str">
        <x:v>شبه ثابت</x:v>
      </x:c>
      <x:c r="F10" t="str"/>
    </x:row>
    <x:row r="11">
      <x:c r="A11" t="str">
        <x:v>أمن إضافي</x:v>
      </x:c>
      <x:c r="B11" s="84" t="n">
        <x:f>C11/12</x:f>
        <x:v>416.6666666666667</x:v>
      </x:c>
      <x:c r="C11" s="82" t="n">
        <x:v>5000</x:v>
      </x:c>
      <x:c r="D11" t="str">
        <x:v>التضخم/الاستخدام</x:v>
      </x:c>
      <x:c r="E11" t="str">
        <x:v>شبه ثابت</x:v>
      </x:c>
      <x:c r="F11" t="str"/>
    </x:row>
    <x:row r="12">
      <x:c r="A12" t="str">
        <x:v>نقل ومشتريات</x:v>
      </x:c>
      <x:c r="B12" s="84" t="n">
        <x:f>C12/12</x:f>
        <x:v>750</x:v>
      </x:c>
      <x:c r="C12" s="82" t="n">
        <x:v>9000</x:v>
      </x:c>
      <x:c r="D12" t="str">
        <x:v>التضخم/الاستخدام</x:v>
      </x:c>
      <x:c r="E12" t="str">
        <x:v>شبه ثابت</x:v>
      </x:c>
      <x:c r="F12" t="str"/>
    </x:row>
    <x:row r="13">
      <x:c r="A13" t="str">
        <x:v>مصروفات إدارية وبنكية</x:v>
      </x:c>
      <x:c r="B13" s="84" t="n">
        <x:f>C13/12</x:f>
        <x:v>833.3333333333334</x:v>
      </x:c>
      <x:c r="C13" s="82" t="n">
        <x:v>10000</x:v>
      </x:c>
      <x:c r="D13" t="str">
        <x:v>التضخم/الاستخدام</x:v>
      </x:c>
      <x:c r="E13" t="str">
        <x:v>شبه ثابت</x:v>
      </x:c>
      <x:c r="F13" t="str"/>
    </x:row>
    <x:row r="14">
      <x:c r="A14" t="str">
        <x:v>موسيقى وفعاليات وترخيص محتمل</x:v>
      </x:c>
      <x:c r="B14" s="84" t="n">
        <x:f>C14/12</x:f>
        <x:v>333.3333333333333</x:v>
      </x:c>
      <x:c r="C14" s="82" t="n">
        <x:v>4000</x:v>
      </x:c>
      <x:c r="D14" t="str">
        <x:v>التضخم/الاستخدام</x:v>
      </x:c>
      <x:c r="E14" t="str">
        <x:v>شبه ثابت</x:v>
      </x:c>
      <x:c r="F14" t="str"/>
    </x:row>
    <x:row r="15">
      <x:c r="A15" t="str">
        <x:v>احتياطي تشغيلي</x:v>
      </x:c>
      <x:c r="B15" s="84" t="n">
        <x:f>C15/12</x:f>
        <x:v>1166.6666666666667</x:v>
      </x:c>
      <x:c r="C15" s="82" t="n">
        <x:v>14000</x:v>
      </x:c>
      <x:c r="D15" t="str">
        <x:v>التضخم/الاستخدام</x:v>
      </x:c>
      <x:c r="E15" t="str">
        <x:v>شبه ثابت</x:v>
      </x:c>
      <x:c r="F15" t="str"/>
    </x:row>
    <x:row r="16">
      <x:c r="A16" s="52" t="str">
        <x:v>إجمالي غير العمالة</x:v>
      </x:c>
      <x:c r="B16" s="54"/>
      <x:c r="C16" s="54" t="n">
        <x:f>SUM(C4:C15)</x:f>
        <x:v>201000</x:v>
      </x:c>
      <x:c r="D16" s="52"/>
      <x:c r="E16" s="52"/>
      <x:c r="F16" s="52"/>
    </x:row>
    <x:row r="17">
      <x:c r="A17" t="str">
        <x:v>إجمالي العمالة</x:v>
      </x:c>
      <x:c r="B17" s="24"/>
      <x:c r="C17" s="87" t="n">
        <x:f>'CH - Payroll'!J20</x:f>
        <x:v>337817.25</x:v>
      </x:c>
    </x:row>
    <x:row r="18">
      <x:c r="A18" s="16" t="str">
        <x:v>إجمالي التشغيل قبل تكلفة المبيعات</x:v>
      </x:c>
      <x:c r="B18" s="60"/>
      <x:c r="C18" s="60" t="n">
        <x:f>SUM(C16:C17)</x:f>
        <x:v>538817.25</x:v>
      </x:c>
      <x:c r="D18" s="16"/>
      <x:c r="E18" s="16"/>
      <x:c r="F18" s="16"/>
    </x:row>
  </x:sheetData>
  <x:mergeCells>
    <x:mergeCell ref="A1:F1"/>
    <x:mergeCell ref="A16:B16"/>
    <x:mergeCell ref="A17:B17"/>
    <x:mergeCell ref="A18:B18"/>
  </x:mergeCells>
  <x:pageMargins left="0.7" right="0.7" top="0.75" bottom="0.75" header="0.3" footer="0.3"/>
</x:worksheet>
</file>

<file path=xl/worksheets/sheet14.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x:c r="A1" s="29" t="str">
        <x:v>النموذج المالي لعشر سنوات - كوفي هاوس</x:v>
      </x:c>
      <x:c r="B1" s="29"/>
      <x:c r="C1" s="29"/>
      <x:c r="D1" s="29"/>
      <x:c r="E1" s="29"/>
      <x:c r="F1" s="29"/>
      <x:c r="G1" s="29"/>
      <x:c r="H1" s="29"/>
      <x:c r="I1" s="29"/>
      <x:c r="J1" s="29"/>
      <x:c r="K1" s="29"/>
      <x:c r="L1" s="29"/>
    </x:row>
    <x:row r="3">
      <x:c r="A3" s="19" t="str">
        <x:v>المؤشر</x:v>
      </x:c>
      <x:c r="B3" s="19" t="str">
        <x:v>سنة 1</x:v>
      </x:c>
      <x:c r="C3" s="19" t="str">
        <x:v>سنة 2</x:v>
      </x:c>
      <x:c r="D3" s="19" t="str">
        <x:v>سنة 3</x:v>
      </x:c>
      <x:c r="E3" s="19" t="str">
        <x:v>سنة 4</x:v>
      </x:c>
      <x:c r="F3" s="19" t="str">
        <x:v>سنة 5</x:v>
      </x:c>
      <x:c r="G3" s="19" t="str">
        <x:v>سنة 6</x:v>
      </x:c>
      <x:c r="H3" s="19" t="str">
        <x:v>سنة 7</x:v>
      </x:c>
      <x:c r="I3" s="19" t="str">
        <x:v>سنة 8</x:v>
      </x:c>
      <x:c r="J3" s="19" t="str">
        <x:v>سنة 9</x:v>
      </x:c>
      <x:c r="K3" s="19" t="str">
        <x:v>سنة 10</x:v>
      </x:c>
    </x:row>
    <x:row r="4">
      <x:c r="A4" t="str">
        <x:v>الإيرادات</x:v>
      </x:c>
      <x:c r="B4" s="84" t="n">
        <x:f>'Dynamic Inputs'!$B$40*'Dynamic Inputs'!$B$41*'Dynamic Inputs'!$B$42+'Dynamic Inputs'!$B$43</x:f>
        <x:v>711850</x:v>
      </x:c>
      <x:c r="C4" s="84" t="n">
        <x:f>B4*(1+'Dynamic Inputs'!$E$40)</x:f>
        <x:v>797272.0000000001</x:v>
      </x:c>
      <x:c r="D4" s="84" t="n">
        <x:f>C4*(1+'Dynamic Inputs'!$F$40)</x:f>
        <x:v>869026.4800000002</x:v>
      </x:c>
      <x:c r="E4" s="84" t="n">
        <x:f>D4*(1+'Dynamic Inputs'!$G$40)</x:f>
        <x:v>929858.3336000002</x:v>
      </x:c>
      <x:c r="F4" s="84" t="n">
        <x:f>E4*(1+'Dynamic Inputs'!$H$40)</x:f>
        <x:v>985649.8336160004</x:v>
      </x:c>
      <x:c r="G4" s="84" t="n">
        <x:f>F4*(1+'Dynamic Inputs'!$I$40)</x:f>
        <x:v>1034932.3252968005</x:v>
      </x:c>
      <x:c r="H4" s="84" t="n">
        <x:f>G4*(1+'Dynamic Inputs'!$J$40)</x:f>
        <x:v>1081504.2799351565</x:v>
      </x:c>
      <x:c r="I4" s="84" t="n">
        <x:f>H4*(1+'Dynamic Inputs'!$K$40)</x:f>
        <x:v>1124764.4511325627</x:v>
      </x:c>
      <x:c r="J4" s="84" t="n">
        <x:f>I4*(1+'Dynamic Inputs'!$L$40)</x:f>
        <x:v>1164131.2069222024</x:v>
      </x:c>
      <x:c r="K4" s="84" t="n">
        <x:f>J4*(1+'Dynamic Inputs'!$M$40)</x:f>
        <x:v>1199055.1431298684</x:v>
      </x:c>
    </x:row>
    <x:row r="5">
      <x:c r="A5" t="str">
        <x:v>تكلفة المواد/الخدمة</x:v>
      </x:c>
      <x:c r="B5" s="84" t="n">
        <x:f>B4*'Dynamic Inputs'!$B$44</x:f>
        <x:v>249147.49999999997</x:v>
      </x:c>
      <x:c r="C5" s="84" t="n">
        <x:f>C4*'Dynamic Inputs'!$B$44</x:f>
        <x:v>279045.2</x:v>
      </x:c>
      <x:c r="D5" s="84" t="n">
        <x:f>D4*'Dynamic Inputs'!$B$44</x:f>
        <x:v>304159.26800000004</x:v>
      </x:c>
      <x:c r="E5" s="84" t="n">
        <x:f>E4*'Dynamic Inputs'!$B$44</x:f>
        <x:v>325450.41676000005</x:v>
      </x:c>
      <x:c r="F5" s="84" t="n">
        <x:f>F4*'Dynamic Inputs'!$B$44</x:f>
        <x:v>344977.4417656001</x:v>
      </x:c>
      <x:c r="G5" s="84" t="n">
        <x:f>G4*'Dynamic Inputs'!$B$44</x:f>
        <x:v>362226.31385388016</x:v>
      </x:c>
      <x:c r="H5" s="84" t="n">
        <x:f>H4*'Dynamic Inputs'!$B$44</x:f>
        <x:v>378526.49797730474</x:v>
      </x:c>
      <x:c r="I5" s="84" t="n">
        <x:f>I4*'Dynamic Inputs'!$B$44</x:f>
        <x:v>393667.5578963969</x:v>
      </x:c>
      <x:c r="J5" s="84" t="n">
        <x:f>J4*'Dynamic Inputs'!$B$44</x:f>
        <x:v>407445.9224227708</x:v>
      </x:c>
      <x:c r="K5" s="84" t="n">
        <x:f>K4*'Dynamic Inputs'!$B$44</x:f>
        <x:v>419669.3000954539</x:v>
      </x:c>
    </x:row>
    <x:row r="6">
      <x:c r="A6" t="str">
        <x:v>مجمل الربح</x:v>
      </x:c>
      <x:c r="B6" s="84" t="n">
        <x:f>B4-B5</x:f>
        <x:v>462702.5</x:v>
      </x:c>
      <x:c r="C6" s="84" t="n">
        <x:f>C4-C5</x:f>
        <x:v>518226.8000000001</x:v>
      </x:c>
      <x:c r="D6" s="84" t="n">
        <x:f>D4-D5</x:f>
        <x:v>564867.2120000002</x:v>
      </x:c>
      <x:c r="E6" s="84" t="n">
        <x:f>E4-E5</x:f>
        <x:v>604407.9168400002</x:v>
      </x:c>
      <x:c r="F6" s="84" t="n">
        <x:f>F4-F5</x:f>
        <x:v>640672.3918504003</x:v>
      </x:c>
      <x:c r="G6" s="84" t="n">
        <x:f>G4-G5</x:f>
        <x:v>672706.0114429203</x:v>
      </x:c>
      <x:c r="H6" s="84" t="n">
        <x:f>H4-H5</x:f>
        <x:v>702977.7819578517</x:v>
      </x:c>
      <x:c r="I6" s="84" t="n">
        <x:f>I4-I5</x:f>
        <x:v>731096.8932361659</x:v>
      </x:c>
      <x:c r="J6" s="84" t="n">
        <x:f>J4-J5</x:f>
        <x:v>756685.2844994315</x:v>
      </x:c>
      <x:c r="K6" s="84" t="n">
        <x:f>K4-K5</x:f>
        <x:v>779385.8430344146</x:v>
      </x:c>
    </x:row>
    <x:row r="7">
      <x:c r="A7" t="str">
        <x:v>تكلفة العمالة</x:v>
      </x:c>
      <x:c r="B7" s="84" t="n">
        <x:f>'CH - Payroll'!J20</x:f>
        <x:v>337817.25</x:v>
      </x:c>
      <x:c r="C7" s="84" t="n">
        <x:f>B7*(1+'General Assumptions'!$B$9)</x:f>
        <x:v>351329.94</x:v>
      </x:c>
      <x:c r="D7" s="84" t="n">
        <x:f>C7*(1+'General Assumptions'!$B$9)</x:f>
        <x:v>365383.1376</x:v>
      </x:c>
      <x:c r="E7" s="84" t="n">
        <x:f>D7*(1+'General Assumptions'!$B$9)</x:f>
        <x:v>379998.463104</x:v>
      </x:c>
      <x:c r="F7" s="84" t="n">
        <x:f>E7*(1+'General Assumptions'!$B$9)</x:f>
        <x:v>395198.40162816003</x:v>
      </x:c>
      <x:c r="G7" s="84" t="n">
        <x:f>F7*(1+'General Assumptions'!$B$9)</x:f>
        <x:v>411006.3376932865</x:v>
      </x:c>
      <x:c r="H7" s="84" t="n">
        <x:f>G7*(1+'General Assumptions'!$B$9)</x:f>
        <x:v>427446.59120101796</x:v>
      </x:c>
      <x:c r="I7" s="84" t="n">
        <x:f>H7*(1+'General Assumptions'!$B$9)</x:f>
        <x:v>444544.4548490587</x:v>
      </x:c>
      <x:c r="J7" s="84" t="n">
        <x:f>I7*(1+'General Assumptions'!$B$9)</x:f>
        <x:v>462326.23304302106</x:v>
      </x:c>
      <x:c r="K7" s="84" t="n">
        <x:f>J7*(1+'General Assumptions'!$B$9)</x:f>
        <x:v>480819.2823647419</x:v>
      </x:c>
    </x:row>
    <x:row r="8">
      <x:c r="A8" t="str">
        <x:v>OPEX غير العمالة</x:v>
      </x:c>
      <x:c r="B8" s="84" t="n">
        <x:f>'CH - OPEX'!C16</x:f>
        <x:v>201000</x:v>
      </x:c>
      <x:c r="C8" s="84" t="n">
        <x:f>B8*(1+'General Assumptions'!$B$10)</x:f>
        <x:v>207030</x:v>
      </x:c>
      <x:c r="D8" s="84" t="n">
        <x:f>C8*(1+'General Assumptions'!$B$10)</x:f>
        <x:v>213240.9</x:v>
      </x:c>
      <x:c r="E8" s="84" t="n">
        <x:f>D8*(1+'General Assumptions'!$B$10)</x:f>
        <x:v>219638.127</x:v>
      </x:c>
      <x:c r="F8" s="84" t="n">
        <x:f>E8*(1+'General Assumptions'!$B$10)</x:f>
        <x:v>226227.27081000002</x:v>
      </x:c>
      <x:c r="G8" s="84" t="n">
        <x:f>F8*(1+'General Assumptions'!$B$10)</x:f>
        <x:v>233014.08893430003</x:v>
      </x:c>
      <x:c r="H8" s="84" t="n">
        <x:f>G8*(1+'General Assumptions'!$B$10)</x:f>
        <x:v>240004.51160232903</x:v>
      </x:c>
      <x:c r="I8" s="84" t="n">
        <x:f>H8*(1+'General Assumptions'!$B$10)</x:f>
        <x:v>247204.64695039892</x:v>
      </x:c>
      <x:c r="J8" s="84" t="n">
        <x:f>I8*(1+'General Assumptions'!$B$10)</x:f>
        <x:v>254620.7863589109</x:v>
      </x:c>
      <x:c r="K8" s="84" t="n">
        <x:f>J8*(1+'General Assumptions'!$B$10)</x:f>
        <x:v>262259.40994967823</x:v>
      </x:c>
    </x:row>
    <x:row r="9">
      <x:c r="A9" t="str">
        <x:v>EBITDA</x:v>
      </x:c>
      <x:c r="B9" s="84" t="n">
        <x:f>B6-B7-B8</x:f>
        <x:v>-76114.75</x:v>
      </x:c>
      <x:c r="C9" s="84" t="n">
        <x:f>C6-C7-C8</x:f>
        <x:v>-40133.1399999999</x:v>
      </x:c>
      <x:c r="D9" s="84" t="n">
        <x:f>D6-D7-D8</x:f>
        <x:v>-13756.825599999836</x:v>
      </x:c>
      <x:c r="E9" s="84" t="n">
        <x:f>E6-E7-E8</x:f>
        <x:v>4771.326736000163</x:v>
      </x:c>
      <x:c r="F9" s="84" t="n">
        <x:f>F6-F7-F8</x:f>
        <x:v>19246.7194122402</x:v>
      </x:c>
      <x:c r="G9" s="84" t="n">
        <x:f>G6-G7-G8</x:f>
        <x:v>28685.5848153338</x:v>
      </x:c>
      <x:c r="H9" s="84" t="n">
        <x:f>H6-H7-H8</x:f>
        <x:v>35526.67915450473</x:v>
      </x:c>
      <x:c r="I9" s="84" t="n">
        <x:f>I6-I7-I8</x:f>
        <x:v>39347.79143670824</x:v>
      </x:c>
      <x:c r="J9" s="84" t="n">
        <x:f>J6-J7-J8</x:f>
        <x:v>39738.265097499534</x:v>
      </x:c>
      <x:c r="K9" s="84" t="n">
        <x:f>K6-K7-K8</x:f>
        <x:v>36307.150719994446</x:v>
      </x:c>
    </x:row>
    <x:row r="10">
      <x:c r="A10" t="str">
        <x:v>هامش EBITDA</x:v>
      </x:c>
      <x:c r="B10" s="86" t="n">
        <x:f>IFERROR(B9/B4,0)</x:f>
        <x:v>-0.10692526515417573</x:v>
      </x:c>
      <x:c r="C10" s="86" t="n">
        <x:f>IFERROR(C9/C4,0)</x:f>
        <x:v>-0.050338077845452855</x:v>
      </x:c>
      <x:c r="D10" s="86" t="n">
        <x:f>IFERROR(D9/D4,0)</x:f>
        <x:v>-0.015830156982097752</x:v>
      </x:c>
      <x:c r="E10" s="86" t="n">
        <x:f>IFERROR(E9/E4,0)</x:f>
        <x:v>0.005131240495020027</x:v>
      </x:c>
      <x:c r="F10" s="86" t="n">
        <x:f>IFERROR(F9/F4,0)</x:f>
        <x:v>0.019526934166498866</x:v>
      </x:c>
      <x:c r="G10" s="86" t="n">
        <x:f>IFERROR(G9/G4,0)</x:f>
        <x:v>0.027717353216411784</x:v>
      </x:c>
      <x:c r="H10" s="86" t="n">
        <x:f>IFERROR(H9/H4,0)</x:f>
        <x:v>0.032849319058297945</x:v>
      </x:c>
      <x:c r="I10" s="86" t="n">
        <x:f>IFERROR(I9/I4,0)</x:f>
        <x:v>0.03498313926714846</x:v>
      </x:c>
      <x:c r="J10" s="86" t="n">
        <x:f>IFERROR(J9/J4,0)</x:f>
        <x:v>0.03413555522024177</x:v>
      </x:c>
      <x:c r="K10" s="86" t="n">
        <x:f>IFERROR(K9/K4,0)</x:f>
        <x:v>0.03027980066473228</x:v>
      </x:c>
    </x:row>
    <x:row r="11">
      <x:c r="A11" t="str">
        <x:v>الاستهلاك</x:v>
      </x:c>
      <x:c r="B11" s="84" t="n">
        <x:f>'CH - CAPEX'!B18*'General Assumptions'!$B$19</x:f>
        <x:v>55125</x:v>
      </x:c>
      <x:c r="C11" s="84" t="n">
        <x:f>'CH - CAPEX'!B18*'General Assumptions'!$B$19</x:f>
        <x:v>55125</x:v>
      </x:c>
      <x:c r="D11" s="84" t="n">
        <x:f>'CH - CAPEX'!B18*'General Assumptions'!$B$19</x:f>
        <x:v>55125</x:v>
      </x:c>
      <x:c r="E11" s="84" t="n">
        <x:f>'CH - CAPEX'!B18*'General Assumptions'!$B$19</x:f>
        <x:v>55125</x:v>
      </x:c>
      <x:c r="F11" s="84" t="n">
        <x:f>'CH - CAPEX'!B18*'General Assumptions'!$B$19</x:f>
        <x:v>55125</x:v>
      </x:c>
      <x:c r="G11" s="84" t="n">
        <x:f>'CH - CAPEX'!B18*'General Assumptions'!$B$19</x:f>
        <x:v>55125</x:v>
      </x:c>
      <x:c r="H11" s="84" t="n">
        <x:f>'CH - CAPEX'!B18*'General Assumptions'!$B$19</x:f>
        <x:v>55125</x:v>
      </x:c>
      <x:c r="I11" s="84" t="n">
        <x:f>'CH - CAPEX'!B18*'General Assumptions'!$B$19</x:f>
        <x:v>55125</x:v>
      </x:c>
      <x:c r="J11" s="84" t="n">
        <x:f>'CH - CAPEX'!B18*'General Assumptions'!$B$19</x:f>
        <x:v>55125</x:v>
      </x:c>
      <x:c r="K11" s="84" t="n">
        <x:f>'CH - CAPEX'!B18*'General Assumptions'!$B$19</x:f>
        <x:v>55125</x:v>
      </x:c>
    </x:row>
    <x:row r="12">
      <x:c r="A12" t="str">
        <x:v>صافي الربح</x:v>
      </x:c>
      <x:c r="B12" s="84" t="n">
        <x:f>B9-B11-B44-B45</x:f>
        <x:v>-157699.75</x:v>
      </x:c>
      <x:c r="C12" s="84" t="n">
        <x:f>C9-C11-C44-C45</x:f>
        <x:v>-118410.6399999999</x:v>
      </x:c>
      <x:c r="D12" s="84" t="n">
        <x:f>D9-D11-D44-D45</x:f>
        <x:v>-88726.82559999984</x:v>
      </x:c>
      <x:c r="E12" s="84" t="n">
        <x:f>E9-E11-E44-E45</x:f>
        <x:v>-66891.17326399984</x:v>
      </x:c>
      <x:c r="F12" s="84" t="n">
        <x:f>F9-F11-F44-F45</x:f>
        <x:v>-49108.2805877598</x:v>
      </x:c>
      <x:c r="G12" s="84" t="n">
        <x:f>G9-G11-G44-G45</x:f>
        <x:v>-36361.9151846662</x:v>
      </x:c>
      <x:c r="H12" s="84" t="n">
        <x:f>H9-H11-H44-H45</x:f>
        <x:v>-26213.32084549527</x:v>
      </x:c>
      <x:c r="I12" s="84" t="n">
        <x:f>I9-I11-I44-I45</x:f>
        <x:v>-19084.70856329176</x:v>
      </x:c>
      <x:c r="J12" s="84" t="n">
        <x:f>J9-J11-J44-J45</x:f>
        <x:v>-15386.734902500466</x:v>
      </x:c>
      <x:c r="K12" s="84" t="n">
        <x:f>K9-K11-K44-K45</x:f>
        <x:v>-18817.849280005554</x:v>
      </x:c>
    </x:row>
    <x:row r="13">
      <x:c r="A13" t="str">
        <x:v>التدفق النقدي الحر</x:v>
      </x:c>
      <x:c r="B13" s="84" t="n">
        <x:f>B49</x:f>
        <x:v>-103602.8</x:v>
      </x:c>
      <x:c r="C13" s="84" t="n">
        <x:f>C49</x:f>
        <x:v>-37231.83199999992</x:v>
      </x:c>
      <x:c r="D13" s="84" t="n">
        <x:f>D49</x:f>
        <x:v>-15310.729279999876</x:v>
      </x:c>
      <x:c r="E13" s="84" t="n">
        <x:f>E49</x:f>
        <x:v>167.15017280012398</x:v>
      </x:c>
      <x:c r="F13" s="84" t="n">
        <x:f>F49</x:f>
        <x:v>12049.88552883215</x:v>
      </x:c>
      <x:c r="G13" s="84" t="n">
        <x:f>G49</x:f>
        <x:v>19991.518351419043</x:v>
      </x:c>
      <x:c r="H13" s="84" t="n">
        <x:f>H49</x:f>
        <x:v>25627.026045302417</x:v>
      </x:c>
      <x:c r="I13" s="84" t="n">
        <x:f>I49</x:f>
        <x:v>28882.62287752222</x:v>
      </x:c>
      <x:c r="J13" s="84" t="n">
        <x:f>J49</x:f>
        <x:v>29428.60673062125</x:v>
      </x:c>
      <x:c r="K13" s="84" t="n">
        <x:f>K49</x:f>
        <x:v>26950.284403535596</x:v>
      </x:c>
    </x:row>
    <x:row r="14">
      <x:c r="A14" t="str">
        <x:v>DSCR</x:v>
      </x:c>
      <x:c r="B14" s="89" t="n">
        <x:f>IF(1&lt;='Dynamic Inputs'!$B$46,IFERROR((B9-B45)/(('CH - CAPEX'!$B$18*'Dynamic Inputs'!$B$45)*'General Assumptions'!$B$6/(1-(1+'General Assumptions'!$B$6)^(-'Dynamic Inputs'!$B$46))),0),0)</x:f>
        <x:v>-1.432929840864595</x:v>
      </x:c>
      <x:c r="C14" s="89" t="n">
        <x:f>IF(2&lt;='Dynamic Inputs'!$B$46,IFERROR((C9-C45)/(('CH - CAPEX'!$B$18*'Dynamic Inputs'!$B$45)*'General Assumptions'!$B$6/(1-(1+'General Assumptions'!$B$6)^(-'Dynamic Inputs'!$B$46))),0),0)</x:f>
        <x:v>-0.7555430966218291</x:v>
      </x:c>
      <x:c r="D14" s="89" t="n">
        <x:f>IF(3&lt;='Dynamic Inputs'!$B$46,IFERROR((D9-D45)/(('CH - CAPEX'!$B$18*'Dynamic Inputs'!$B$45)*'General Assumptions'!$B$6/(1-(1+'General Assumptions'!$B$6)^(-'Dynamic Inputs'!$B$46))),0),0)</x:f>
        <x:v>-0.25898483431673563</x:v>
      </x:c>
      <x:c r="E14" s="89" t="n">
        <x:f>IF(4&lt;='Dynamic Inputs'!$B$46,IFERROR((E9-E45)/(('CH - CAPEX'!$B$18*'Dynamic Inputs'!$B$45)*'General Assumptions'!$B$6/(1-(1+'General Assumptions'!$B$6)^(-'Dynamic Inputs'!$B$46))),0),0)</x:f>
        <x:v>0.08982459326910619</x:v>
      </x:c>
      <x:c r="F14" s="89" t="n">
        <x:f>IF(5&lt;='Dynamic Inputs'!$B$46,IFERROR((F9-F45)/(('CH - CAPEX'!$B$18*'Dynamic Inputs'!$B$45)*'General Assumptions'!$B$6/(1-(1+'General Assumptions'!$B$6)^(-'Dynamic Inputs'!$B$46))),0),0)</x:f>
        <x:v>0.36233711054095114</x:v>
      </x:c>
      <x:c r="G14" s="89" t="n">
        <x:f>IF(6&lt;='Dynamic Inputs'!$B$46,IFERROR((G9-G45)/(('CH - CAPEX'!$B$18*'Dynamic Inputs'!$B$45)*'General Assumptions'!$B$6/(1-(1+'General Assumptions'!$B$6)^(-'Dynamic Inputs'!$B$46))),0),0)</x:f>
        <x:v>0.5400323916789336</x:v>
      </x:c>
      <x:c r="H14" s="89" t="n">
        <x:f>IF(7&lt;='Dynamic Inputs'!$B$46,IFERROR((H9-H45)/(('CH - CAPEX'!$B$18*'Dynamic Inputs'!$B$45)*'General Assumptions'!$B$6/(1-(1+'General Assumptions'!$B$6)^(-'Dynamic Inputs'!$B$46))),0),0)</x:f>
        <x:v>0.6688222546525081</x:v>
      </x:c>
      <x:c r="I14" s="89" t="n">
        <x:f>IF(8&lt;='Dynamic Inputs'!$B$46,IFERROR((I9-I45)/(('CH - CAPEX'!$B$18*'Dynamic Inputs'!$B$45)*'General Assumptions'!$B$6/(1-(1+'General Assumptions'!$B$6)^(-'Dynamic Inputs'!$B$46))),0),0)</x:f>
        <x:v>0.7407581910441223</x:v>
      </x:c>
      <x:c r="J14" s="89" t="n">
        <x:f>IF(9&lt;='Dynamic Inputs'!$B$46,IFERROR((J9-J45)/(('CH - CAPEX'!$B$18*'Dynamic Inputs'!$B$45)*'General Assumptions'!$B$6/(1-(1+'General Assumptions'!$B$6)^(-'Dynamic Inputs'!$B$46))),0),0)</x:f>
        <x:v>0</x:v>
      </x:c>
      <x:c r="K14" s="89" t="n">
        <x:f>IF(10&lt;='Dynamic Inputs'!$B$46,IFERROR((K9-K45)/(('CH - CAPEX'!$B$18*'Dynamic Inputs'!$B$45)*'General Assumptions'!$B$6/(1-(1+'General Assumptions'!$B$6)^(-'Dynamic Inputs'!$B$46))),0),0)</x:f>
        <x:v>0</x:v>
      </x:c>
    </x:row>
    <x:row r="16">
      <x:c r="A16" s="19" t="str">
        <x:v>المؤشر</x:v>
      </x:c>
      <x:c r="B16" s="19" t="str">
        <x:v>دون الأرض</x:v>
      </x:c>
      <x:c r="C16" s="19" t="str">
        <x:v>مع الأرض</x:v>
      </x:c>
      <x:c r="D16" s="19" t="str">
        <x:v>قرار</x:v>
      </x:c>
      <x:c r="E16" s="19" t="str">
        <x:v>حد القبول</x:v>
      </x:c>
      <x:c r="F16" s="19" t="str">
        <x:v>ملاحظة</x:v>
      </x:c>
    </x:row>
    <x:row r="17">
      <x:c r="A17" t="str">
        <x:v>CAPEX</x:v>
      </x:c>
      <x:c r="B17" s="24" t="n">
        <x:f>'CH - CAPEX'!B18</x:f>
        <x:v>735000</x:v>
      </x:c>
      <x:c r="C17" s="24" t="n">
        <x:f>'CH - CAPEX'!B20</x:f>
        <x:v>1535000</x:v>
      </x:c>
      <x:c r="D17" t="str">
        <x:v>يحتاج إعادة تصميم</x:v>
      </x:c>
      <x:c r="E17" t="str"/>
      <x:c r="F17" t="str"/>
    </x:row>
    <x:row r="18">
      <x:c r="A18" t="str">
        <x:v>NPV</x:v>
      </x:c>
      <x:c r="B18" s="24" t="n">
        <x:f>B51+C51/(1+'General Assumptions'!$B$5)^1+D51/(1+'General Assumptions'!$B$5)^2+E51/(1+'General Assumptions'!$B$5)^3+F51/(1+'General Assumptions'!$B$5)^4+G51/(1+'General Assumptions'!$B$5)^5+H51/(1+'General Assumptions'!$B$5)^6+I51/(1+'General Assumptions'!$B$5)^7+J51/(1+'General Assumptions'!$B$5)^8+K51/(1+'General Assumptions'!$B$5)^9+L51/(1+'General Assumptions'!$B$5)^10</x:f>
        <x:v>-445995.2513169341</x:v>
      </x:c>
      <x:c r="C18" s="24" t="n">
        <x:f>B52+C52/(1+'General Assumptions'!$B$5)^1+D52/(1+'General Assumptions'!$B$5)^2+E52/(1+'General Assumptions'!$B$5)^3+F52/(1+'General Assumptions'!$B$5)^4+G52/(1+'General Assumptions'!$B$5)^5+H52/(1+'General Assumptions'!$B$5)^6+I52/(1+'General Assumptions'!$B$5)^7+J52/(1+'General Assumptions'!$B$5)^8+K52/(1+'General Assumptions'!$B$5)^9+L52/(1+'General Assumptions'!$B$5)^10</x:f>
        <x:v>-1245995.251316934</x:v>
      </x:c>
      <x:c r="D18" t="str">
        <x:v>يُقبل إذا موجب بعد الأرض</x:v>
      </x:c>
      <x:c r="E18" s="24" t="n">
        <x:v>0</x:v>
      </x:c>
      <x:c r="F18" t="str"/>
    </x:row>
    <x:row r="19">
      <x:c r="A19" t="str">
        <x:v>IRR</x:v>
      </x:c>
      <x:c r="B19" s="26" t="n">
        <x:f>IRR(B51:L51)</x:f>
        <x:v>-0.06124817179423715</x:v>
      </x:c>
      <x:c r="C19" s="26" t="n">
        <x:f>IRR(B52:L52)</x:f>
        <x:v>-0.14344066218258827</x:v>
      </x:c>
      <x:c r="D19" t="str">
        <x:v>يُقارن بمعدل الخصم</x:v>
      </x:c>
      <x:c r="E19" s="26" t="n">
        <x:v>0.115</x:v>
      </x:c>
      <x:c r="F19" t="str"/>
    </x:row>
    <x:row r="20">
      <x:c r="A20" t="str">
        <x:v>فترة الاسترداد</x:v>
      </x:c>
      <x:c r="B20" t="n">
        <x:f>COUNTIF(B53:L53,"&lt;0")</x:f>
        <x:v>11</x:v>
      </x:c>
      <x:c r="C20" t="n">
        <x:f>COUNTIF(B54:L54,"&lt;0")</x:f>
        <x:v>11</x:v>
      </x:c>
      <x:c r="D20" t="str">
        <x:v>الأقصر أفضل</x:v>
      </x:c>
      <x:c r="E20" t="n">
        <x:v>7</x:v>
      </x:c>
      <x:c r="F20" t="str">
        <x:v>سنة</x:v>
      </x:c>
    </x:row>
    <x:row r="21">
      <x:c r="A21" t="str">
        <x:v>أدنى DSCR</x:v>
      </x:c>
      <x:c r="B21" s="62" t="n">
        <x:f>MIN(B14:INDEX(B14:K14,1,'Dynamic Inputs'!$B$46))</x:f>
        <x:v>-1.432929840864595</x:v>
      </x:c>
      <x:c r="C21" s="62" t="n">
        <x:f>B21</x:f>
        <x:v>-1.432929840864595</x:v>
      </x:c>
      <x:c r="D21" t="str">
        <x:v>يجب ألا يقل عن 1.30x</x:v>
      </x:c>
      <x:c r="E21" s="62" t="n">
        <x:v>1.3</x:v>
      </x:c>
      <x:c r="F21" t="str"/>
    </x:row>
    <x:row r="42">
      <x:c r="A42" s="91" t="str">
        <x:v>حسابات مساندة</x:v>
      </x:c>
      <x:c r="B42" s="92" t="str">
        <x:v>سنة 1</x:v>
      </x:c>
      <x:c r="C42" s="92" t="str">
        <x:v>سنة 2</x:v>
      </x:c>
      <x:c r="D42" s="92" t="str">
        <x:v>سنة 3</x:v>
      </x:c>
      <x:c r="E42" s="92" t="str">
        <x:v>سنة 4</x:v>
      </x:c>
      <x:c r="F42" s="92" t="str">
        <x:v>سنة 5</x:v>
      </x:c>
      <x:c r="G42" s="92" t="str">
        <x:v>سنة 6</x:v>
      </x:c>
      <x:c r="H42" s="92" t="str">
        <x:v>سنة 7</x:v>
      </x:c>
      <x:c r="I42" s="92" t="str">
        <x:v>سنة 8</x:v>
      </x:c>
      <x:c r="J42" s="92" t="str">
        <x:v>سنة 9</x:v>
      </x:c>
      <x:c r="K42" s="92" t="str">
        <x:v>سنة 10</x:v>
      </x:c>
      <x:c r="L42" s="95"/>
    </x:row>
    <x:row r="43">
      <x:c r="A43" s="96" t="str">
        <x:v>رصيد الدين التقريبي</x:v>
      </x:c>
      <x:c r="B43" s="95" t="n">
        <x:f>MAX(0,'CH - CAPEX'!$B$18*'Dynamic Inputs'!$B$45*(1-(1-1)/'Dynamic Inputs'!$B$46))</x:f>
        <x:v>294000</x:v>
      </x:c>
      <x:c r="C43" s="95" t="n">
        <x:f>MAX(0,'CH - CAPEX'!$B$18*'Dynamic Inputs'!$B$45*(1-(2-1)/'Dynamic Inputs'!$B$46))</x:f>
        <x:v>257250</x:v>
      </x:c>
      <x:c r="D43" s="95" t="n">
        <x:f>MAX(0,'CH - CAPEX'!$B$18*'Dynamic Inputs'!$B$45*(1-(3-1)/'Dynamic Inputs'!$B$46))</x:f>
        <x:v>220500</x:v>
      </x:c>
      <x:c r="E43" s="95" t="n">
        <x:f>MAX(0,'CH - CAPEX'!$B$18*'Dynamic Inputs'!$B$45*(1-(4-1)/'Dynamic Inputs'!$B$46))</x:f>
        <x:v>183750</x:v>
      </x:c>
      <x:c r="F43" s="95" t="n">
        <x:f>MAX(0,'CH - CAPEX'!$B$18*'Dynamic Inputs'!$B$45*(1-(5-1)/'Dynamic Inputs'!$B$46))</x:f>
        <x:v>147000</x:v>
      </x:c>
      <x:c r="G43" s="95" t="n">
        <x:f>MAX(0,'CH - CAPEX'!$B$18*'Dynamic Inputs'!$B$45*(1-(6-1)/'Dynamic Inputs'!$B$46))</x:f>
        <x:v>110250</x:v>
      </x:c>
      <x:c r="H43" s="95" t="n">
        <x:f>MAX(0,'CH - CAPEX'!$B$18*'Dynamic Inputs'!$B$45*(1-(7-1)/'Dynamic Inputs'!$B$46))</x:f>
        <x:v>73500</x:v>
      </x:c>
      <x:c r="I43" s="95" t="n">
        <x:f>MAX(0,'CH - CAPEX'!$B$18*'Dynamic Inputs'!$B$45*(1-(8-1)/'Dynamic Inputs'!$B$46))</x:f>
        <x:v>36750</x:v>
      </x:c>
      <x:c r="J43" s="95" t="n">
        <x:f>MAX(0,'CH - CAPEX'!$B$18*'Dynamic Inputs'!$B$45*(1-(9-1)/'Dynamic Inputs'!$B$46))</x:f>
        <x:v>0</x:v>
      </x:c>
      <x:c r="K43" s="95" t="n">
        <x:f>MAX(0,'CH - CAPEX'!$B$18*'Dynamic Inputs'!$B$45*(1-(10-1)/'Dynamic Inputs'!$B$46))</x:f>
        <x:v>0</x:v>
      </x:c>
      <x:c r="L43" s="95"/>
    </x:row>
    <x:row r="44">
      <x:c r="A44" s="96" t="str">
        <x:v>الفائدة</x:v>
      </x:c>
      <x:c r="B44" s="95" t="n">
        <x:f>IF(1&lt;='Dynamic Inputs'!$B$46,B43*'General Assumptions'!$B$6,0)</x:f>
        <x:v>26460</x:v>
      </x:c>
      <x:c r="C44" s="95" t="n">
        <x:f>IF(2&lt;='Dynamic Inputs'!$B$46,C43*'General Assumptions'!$B$6,0)</x:f>
        <x:v>23152.5</x:v>
      </x:c>
      <x:c r="D44" s="95" t="n">
        <x:f>IF(3&lt;='Dynamic Inputs'!$B$46,D43*'General Assumptions'!$B$6,0)</x:f>
        <x:v>19845</x:v>
      </x:c>
      <x:c r="E44" s="95" t="n">
        <x:f>IF(4&lt;='Dynamic Inputs'!$B$46,E43*'General Assumptions'!$B$6,0)</x:f>
        <x:v>16537.5</x:v>
      </x:c>
      <x:c r="F44" s="95" t="n">
        <x:f>IF(5&lt;='Dynamic Inputs'!$B$46,F43*'General Assumptions'!$B$6,0)</x:f>
        <x:v>13230</x:v>
      </x:c>
      <x:c r="G44" s="95" t="n">
        <x:f>IF(6&lt;='Dynamic Inputs'!$B$46,G43*'General Assumptions'!$B$6,0)</x:f>
        <x:v>9922.5</x:v>
      </x:c>
      <x:c r="H44" s="95" t="n">
        <x:f>IF(7&lt;='Dynamic Inputs'!$B$46,H43*'General Assumptions'!$B$6,0)</x:f>
        <x:v>6615</x:v>
      </x:c>
      <x:c r="I44" s="95" t="n">
        <x:f>IF(8&lt;='Dynamic Inputs'!$B$46,I43*'General Assumptions'!$B$6,0)</x:f>
        <x:v>3307.5</x:v>
      </x:c>
      <x:c r="J44" s="95" t="n">
        <x:f>IF(9&lt;='Dynamic Inputs'!$B$46,J43*'General Assumptions'!$B$6,0)</x:f>
        <x:v>0</x:v>
      </x:c>
      <x:c r="K44" s="95" t="n">
        <x:f>IF(10&lt;='Dynamic Inputs'!$B$46,K43*'General Assumptions'!$B$6,0)</x:f>
        <x:v>0</x:v>
      </x:c>
      <x:c r="L44" s="95"/>
    </x:row>
    <x:row r="45">
      <x:c r="A45" s="96" t="str">
        <x:v>الضريبة</x:v>
      </x:c>
      <x:c r="B45" s="95" t="n">
        <x:f>MAX(0,B9-B11-B44)*'General Assumptions'!$B$7</x:f>
        <x:v>0</x:v>
      </x:c>
      <x:c r="C45" s="95" t="n">
        <x:f>MAX(0,C9-C11-C44)*'General Assumptions'!$B$7</x:f>
        <x:v>0</x:v>
      </x:c>
      <x:c r="D45" s="95" t="n">
        <x:f>MAX(0,D9-D11-D44)*'General Assumptions'!$B$7</x:f>
        <x:v>0</x:v>
      </x:c>
      <x:c r="E45" s="95" t="n">
        <x:f>MAX(0,E9-E11-E44)*'General Assumptions'!$B$7</x:f>
        <x:v>0</x:v>
      </x:c>
      <x:c r="F45" s="95" t="n">
        <x:f>MAX(0,F9-F11-F44)*'General Assumptions'!$B$7</x:f>
        <x:v>0</x:v>
      </x:c>
      <x:c r="G45" s="95" t="n">
        <x:f>MAX(0,G9-G11-G44)*'General Assumptions'!$B$7</x:f>
        <x:v>0</x:v>
      </x:c>
      <x:c r="H45" s="95" t="n">
        <x:f>MAX(0,H9-H11-H44)*'General Assumptions'!$B$7</x:f>
        <x:v>0</x:v>
      </x:c>
      <x:c r="I45" s="95" t="n">
        <x:f>MAX(0,I9-I11-I44)*'General Assumptions'!$B$7</x:f>
        <x:v>0</x:v>
      </x:c>
      <x:c r="J45" s="95" t="n">
        <x:f>MAX(0,J9-J11-J44)*'General Assumptions'!$B$7</x:f>
        <x:v>0</x:v>
      </x:c>
      <x:c r="K45" s="95" t="n">
        <x:f>MAX(0,K9-K11-K44)*'General Assumptions'!$B$7</x:f>
        <x:v>0</x:v>
      </x:c>
      <x:c r="L45" s="95"/>
    </x:row>
    <x:row r="46">
      <x:c r="A46" s="96" t="str">
        <x:v>رأس المال العامل</x:v>
      </x:c>
      <x:c r="B46" s="95" t="n">
        <x:f>B4*'General Assumptions'!$B$16</x:f>
        <x:v>42711</x:v>
      </x:c>
      <x:c r="C46" s="95" t="n">
        <x:f>C4*'General Assumptions'!$B$16</x:f>
        <x:v>47836.32000000001</x:v>
      </x:c>
      <x:c r="D46" s="95" t="n">
        <x:f>D4*'General Assumptions'!$B$16</x:f>
        <x:v>52141.58880000001</x:v>
      </x:c>
      <x:c r="E46" s="95" t="n">
        <x:f>E4*'General Assumptions'!$B$16</x:f>
        <x:v>55791.50001600001</x:v>
      </x:c>
      <x:c r="F46" s="95" t="n">
        <x:f>F4*'General Assumptions'!$B$16</x:f>
        <x:v>59138.99001696002</x:v>
      </x:c>
      <x:c r="G46" s="95" t="n">
        <x:f>G4*'General Assumptions'!$B$16</x:f>
        <x:v>62095.93951780802</x:v>
      </x:c>
      <x:c r="H46" s="95" t="n">
        <x:f>H4*'General Assumptions'!$B$16</x:f>
        <x:v>64890.25679610939</x:v>
      </x:c>
      <x:c r="I46" s="95" t="n">
        <x:f>I4*'General Assumptions'!$B$16</x:f>
        <x:v>67485.86706795376</x:v>
      </x:c>
      <x:c r="J46" s="95" t="n">
        <x:f>J4*'General Assumptions'!$B$16</x:f>
        <x:v>69847.87241533214</x:v>
      </x:c>
      <x:c r="K46" s="95" t="n">
        <x:f>K4*'General Assumptions'!$B$16</x:f>
        <x:v>71943.3085877921</x:v>
      </x:c>
      <x:c r="L46" s="95"/>
    </x:row>
    <x:row r="47">
      <x:c r="A47" s="96" t="str">
        <x:v>التغير في رأس المال العامل</x:v>
      </x:c>
      <x:c r="B47" s="95" t="n">
        <x:f>B46</x:f>
        <x:v>42711</x:v>
      </x:c>
      <x:c r="C47" s="95" t="n">
        <x:f>C46-B46</x:f>
        <x:v>5125.320000000007</x:v>
      </x:c>
      <x:c r="D47" s="95" t="n">
        <x:f>D46-C46</x:f>
        <x:v>4305.268800000005</x:v>
      </x:c>
      <x:c r="E47" s="95" t="n">
        <x:f>E46-D46</x:f>
        <x:v>3649.9112160000004</x:v>
      </x:c>
      <x:c r="F47" s="95" t="n">
        <x:f>F46-E46</x:f>
        <x:v>3347.4900009600096</x:v>
      </x:c>
      <x:c r="G47" s="95" t="n">
        <x:f>G46-F46</x:f>
        <x:v>2956.9495008480008</x:v>
      </x:c>
      <x:c r="H47" s="95" t="n">
        <x:f>H46-G46</x:f>
        <x:v>2794.317278301365</x:v>
      </x:c>
      <x:c r="I47" s="95" t="n">
        <x:f>I46-H46</x:f>
        <x:v>2595.6102718443726</x:v>
      </x:c>
      <x:c r="J47" s="95" t="n">
        <x:f>J46-I46</x:f>
        <x:v>2362.0053473783773</x:v>
      </x:c>
      <x:c r="K47" s="95" t="n">
        <x:f>K46-J46</x:f>
        <x:v>2095.4361724599585</x:v>
      </x:c>
      <x:c r="L47" s="95"/>
    </x:row>
    <x:row r="48">
      <x:c r="A48" s="96" t="str">
        <x:v>الصيانة الرأسمالية</x:v>
      </x:c>
      <x:c r="B48" s="95" t="n">
        <x:f>'CH - CAPEX'!$B$18*'General Assumptions'!$B$18</x:f>
        <x:v>11025</x:v>
      </x:c>
      <x:c r="C48" s="95" t="n">
        <x:f>'CH - CAPEX'!$B$18*'General Assumptions'!$B$18</x:f>
        <x:v>11025</x:v>
      </x:c>
      <x:c r="D48" s="95" t="n">
        <x:f>'CH - CAPEX'!$B$18*'General Assumptions'!$B$18</x:f>
        <x:v>11025</x:v>
      </x:c>
      <x:c r="E48" s="95" t="n">
        <x:f>'CH - CAPEX'!$B$18*'General Assumptions'!$B$18</x:f>
        <x:v>11025</x:v>
      </x:c>
      <x:c r="F48" s="95" t="n">
        <x:f>'CH - CAPEX'!$B$18*'General Assumptions'!$B$18</x:f>
        <x:v>11025</x:v>
      </x:c>
      <x:c r="G48" s="95" t="n">
        <x:f>'CH - CAPEX'!$B$18*'General Assumptions'!$B$18</x:f>
        <x:v>11025</x:v>
      </x:c>
      <x:c r="H48" s="95" t="n">
        <x:f>'CH - CAPEX'!$B$18*'General Assumptions'!$B$18</x:f>
        <x:v>11025</x:v>
      </x:c>
      <x:c r="I48" s="95" t="n">
        <x:f>'CH - CAPEX'!$B$18*'General Assumptions'!$B$18</x:f>
        <x:v>11025</x:v>
      </x:c>
      <x:c r="J48" s="95" t="n">
        <x:f>'CH - CAPEX'!$B$18*'General Assumptions'!$B$18</x:f>
        <x:v>11025</x:v>
      </x:c>
      <x:c r="K48" s="95" t="n">
        <x:f>'CH - CAPEX'!$B$18*'General Assumptions'!$B$18</x:f>
        <x:v>11025</x:v>
      </x:c>
      <x:c r="L48" s="95"/>
    </x:row>
    <x:row r="49">
      <x:c r="A49" s="96" t="str">
        <x:v>التدفق دون القيمة النهائية</x:v>
      </x:c>
      <x:c r="B49" s="95" t="n">
        <x:f>(B9-B11)*(1-'General Assumptions'!$B$7)+B11-B48-B47</x:f>
        <x:v>-103602.8</x:v>
      </x:c>
      <x:c r="C49" s="95" t="n">
        <x:f>(C9-C11)*(1-'General Assumptions'!$B$7)+C11-C48-C47</x:f>
        <x:v>-37231.83199999992</x:v>
      </x:c>
      <x:c r="D49" s="95" t="n">
        <x:f>(D9-D11)*(1-'General Assumptions'!$B$7)+D11-D48-D47</x:f>
        <x:v>-15310.729279999876</x:v>
      </x:c>
      <x:c r="E49" s="95" t="n">
        <x:f>(E9-E11)*(1-'General Assumptions'!$B$7)+E11-E48-E47</x:f>
        <x:v>167.15017280012398</x:v>
      </x:c>
      <x:c r="F49" s="95" t="n">
        <x:f>(F9-F11)*(1-'General Assumptions'!$B$7)+F11-F48-F47</x:f>
        <x:v>12049.88552883215</x:v>
      </x:c>
      <x:c r="G49" s="95" t="n">
        <x:f>(G9-G11)*(1-'General Assumptions'!$B$7)+G11-G48-G47</x:f>
        <x:v>19991.518351419043</x:v>
      </x:c>
      <x:c r="H49" s="95" t="n">
        <x:f>(H9-H11)*(1-'General Assumptions'!$B$7)+H11-H48-H47</x:f>
        <x:v>25627.026045302417</x:v>
      </x:c>
      <x:c r="I49" s="95" t="n">
        <x:f>(I9-I11)*(1-'General Assumptions'!$B$7)+I11-I48-I47</x:f>
        <x:v>28882.62287752222</x:v>
      </x:c>
      <x:c r="J49" s="95" t="n">
        <x:f>(J9-J11)*(1-'General Assumptions'!$B$7)+J11-J48-J47</x:f>
        <x:v>29428.60673062125</x:v>
      </x:c>
      <x:c r="K49" s="95" t="n">
        <x:f>(K9-K11)*(1-'General Assumptions'!$B$7)+K11-K48-K47</x:f>
        <x:v>26950.284403535596</x:v>
      </x:c>
      <x:c r="L49" s="95"/>
    </x:row>
    <x:row r="50">
      <x:c r="A50" s="96" t="str">
        <x:v>التدفق مع القيمة النهائية</x:v>
      </x:c>
      <x:c r="B50" s="95" t="n">
        <x:f>B49</x:f>
        <x:v>-103602.8</x:v>
      </x:c>
      <x:c r="C50" s="95" t="n">
        <x:f>C49</x:f>
        <x:v>-37231.83199999992</x:v>
      </x:c>
      <x:c r="D50" s="95" t="n">
        <x:f>D49</x:f>
        <x:v>-15310.729279999876</x:v>
      </x:c>
      <x:c r="E50" s="95" t="n">
        <x:f>E49</x:f>
        <x:v>167.15017280012398</x:v>
      </x:c>
      <x:c r="F50" s="95" t="n">
        <x:f>F49</x:f>
        <x:v>12049.88552883215</x:v>
      </x:c>
      <x:c r="G50" s="95" t="n">
        <x:f>G49</x:f>
        <x:v>19991.518351419043</x:v>
      </x:c>
      <x:c r="H50" s="95" t="n">
        <x:f>H49</x:f>
        <x:v>25627.026045302417</x:v>
      </x:c>
      <x:c r="I50" s="95" t="n">
        <x:f>I49</x:f>
        <x:v>28882.62287752222</x:v>
      </x:c>
      <x:c r="J50" s="95" t="n">
        <x:f>J49</x:f>
        <x:v>29428.60673062125</x:v>
      </x:c>
      <x:c r="K50" s="95" t="n">
        <x:f>K49+MAX(0,K9)*'Dynamic Inputs'!$B$47</x:f>
        <x:v>226639.61336350505</x:v>
      </x:c>
      <x:c r="L50" s="95"/>
    </x:row>
    <x:row r="51">
      <x:c r="A51" s="96" t="str">
        <x:v>التدفقات دون الأرض</x:v>
      </x:c>
      <x:c r="B51" s="95" t="n">
        <x:f>-('CH - CAPEX'!$B$18*(1-'Dynamic Inputs'!$B$45))</x:f>
        <x:v>-441000</x:v>
      </x:c>
      <x:c r="C51" s="95" t="n">
        <x:f>B50</x:f>
        <x:v>-103602.8</x:v>
      </x:c>
      <x:c r="D51" s="95" t="n">
        <x:f>C50</x:f>
        <x:v>-37231.83199999992</x:v>
      </x:c>
      <x:c r="E51" s="95" t="n">
        <x:f>D50</x:f>
        <x:v>-15310.729279999876</x:v>
      </x:c>
      <x:c r="F51" s="95" t="n">
        <x:f>E50</x:f>
        <x:v>167.15017280012398</x:v>
      </x:c>
      <x:c r="G51" s="95" t="n">
        <x:f>F50</x:f>
        <x:v>12049.88552883215</x:v>
      </x:c>
      <x:c r="H51" s="95" t="n">
        <x:f>G50</x:f>
        <x:v>19991.518351419043</x:v>
      </x:c>
      <x:c r="I51" s="95" t="n">
        <x:f>H50</x:f>
        <x:v>25627.026045302417</x:v>
      </x:c>
      <x:c r="J51" s="95" t="n">
        <x:f>I50</x:f>
        <x:v>28882.62287752222</x:v>
      </x:c>
      <x:c r="K51" s="95" t="n">
        <x:f>J50</x:f>
        <x:v>29428.60673062125</x:v>
      </x:c>
      <x:c r="L51" s="95" t="n">
        <x:f>K50</x:f>
        <x:v>226639.61336350505</x:v>
      </x:c>
    </x:row>
    <x:row r="52">
      <x:c r="A52" s="96" t="str">
        <x:v>التدفقات مع الأرض</x:v>
      </x:c>
      <x:c r="B52" s="95" t="n">
        <x:f>-('CH - CAPEX'!$B$20-('CH - CAPEX'!$B$18*'Dynamic Inputs'!$B$45))</x:f>
        <x:v>-1241000</x:v>
      </x:c>
      <x:c r="C52" s="95" t="n">
        <x:f>B50</x:f>
        <x:v>-103602.8</x:v>
      </x:c>
      <x:c r="D52" s="95" t="n">
        <x:f>C50</x:f>
        <x:v>-37231.83199999992</x:v>
      </x:c>
      <x:c r="E52" s="95" t="n">
        <x:f>D50</x:f>
        <x:v>-15310.729279999876</x:v>
      </x:c>
      <x:c r="F52" s="95" t="n">
        <x:f>E50</x:f>
        <x:v>167.15017280012398</x:v>
      </x:c>
      <x:c r="G52" s="95" t="n">
        <x:f>F50</x:f>
        <x:v>12049.88552883215</x:v>
      </x:c>
      <x:c r="H52" s="95" t="n">
        <x:f>G50</x:f>
        <x:v>19991.518351419043</x:v>
      </x:c>
      <x:c r="I52" s="95" t="n">
        <x:f>H50</x:f>
        <x:v>25627.026045302417</x:v>
      </x:c>
      <x:c r="J52" s="95" t="n">
        <x:f>I50</x:f>
        <x:v>28882.62287752222</x:v>
      </x:c>
      <x:c r="K52" s="95" t="n">
        <x:f>J50</x:f>
        <x:v>29428.60673062125</x:v>
      </x:c>
      <x:c r="L52" s="95" t="n">
        <x:f>K50</x:f>
        <x:v>226639.61336350505</x:v>
      </x:c>
    </x:row>
    <x:row r="53">
      <x:c r="A53" s="96" t="str">
        <x:v>التراكمي دون الأرض</x:v>
      </x:c>
      <x:c r="B53" s="95" t="n">
        <x:f>B51</x:f>
        <x:v>-441000</x:v>
      </x:c>
      <x:c r="C53" s="95" t="n">
        <x:f>B53+C51</x:f>
        <x:v>-544602.8</x:v>
      </x:c>
      <x:c r="D53" s="95" t="n">
        <x:f>C53+D51</x:f>
        <x:v>-581834.632</x:v>
      </x:c>
      <x:c r="E53" s="95" t="n">
        <x:f>D53+E51</x:f>
        <x:v>-597145.3612799998</x:v>
      </x:c>
      <x:c r="F53" s="95" t="n">
        <x:f>E53+F51</x:f>
        <x:v>-596978.2111071997</x:v>
      </x:c>
      <x:c r="G53" s="95" t="n">
        <x:f>F53+G51</x:f>
        <x:v>-584928.3255783676</x:v>
      </x:c>
      <x:c r="H53" s="95" t="n">
        <x:f>G53+H51</x:f>
        <x:v>-564936.8072269486</x:v>
      </x:c>
      <x:c r="I53" s="95" t="n">
        <x:f>H53+I51</x:f>
        <x:v>-539309.7811816462</x:v>
      </x:c>
      <x:c r="J53" s="95" t="n">
        <x:f>I53+J51</x:f>
        <x:v>-510427.15830412396</x:v>
      </x:c>
      <x:c r="K53" s="95" t="n">
        <x:f>J53+K51</x:f>
        <x:v>-480998.5515735027</x:v>
      </x:c>
      <x:c r="L53" s="95" t="n">
        <x:f>K53+L51</x:f>
        <x:v>-254358.93820999766</x:v>
      </x:c>
    </x:row>
    <x:row r="54">
      <x:c r="A54" s="96" t="str">
        <x:v>التراكمي مع الأرض</x:v>
      </x:c>
      <x:c r="B54" s="95" t="n">
        <x:f>B52</x:f>
        <x:v>-1241000</x:v>
      </x:c>
      <x:c r="C54" s="95" t="n">
        <x:f>B54+C52</x:f>
        <x:v>-1344602.8</x:v>
      </x:c>
      <x:c r="D54" s="95" t="n">
        <x:f>C54+D52</x:f>
        <x:v>-1381834.632</x:v>
      </x:c>
      <x:c r="E54" s="95" t="n">
        <x:f>D54+E52</x:f>
        <x:v>-1397145.3612799998</x:v>
      </x:c>
      <x:c r="F54" s="95" t="n">
        <x:f>E54+F52</x:f>
        <x:v>-1396978.2111071998</x:v>
      </x:c>
      <x:c r="G54" s="95" t="n">
        <x:f>F54+G52</x:f>
        <x:v>-1384928.3255783676</x:v>
      </x:c>
      <x:c r="H54" s="95" t="n">
        <x:f>G54+H52</x:f>
        <x:v>-1364936.8072269484</x:v>
      </x:c>
      <x:c r="I54" s="95" t="n">
        <x:f>H54+I52</x:f>
        <x:v>-1339309.781181646</x:v>
      </x:c>
      <x:c r="J54" s="95" t="n">
        <x:f>I54+J52</x:f>
        <x:v>-1310427.158304124</x:v>
      </x:c>
      <x:c r="K54" s="95" t="n">
        <x:f>J54+K52</x:f>
        <x:v>-1280998.5515735026</x:v>
      </x:c>
      <x:c r="L54" s="95" t="n">
        <x:f>K54+L52</x:f>
        <x:v>-1054358.9382099975</x:v>
      </x:c>
    </x:row>
  </x:sheetData>
  <x:mergeCells>
    <x:mergeCell ref="A1:L1"/>
  </x:mergeCells>
  <x:conditionalFormatting sqref="A17:F21">
    <x:cfRule type="expression" dxfId="3" priority="1">
      <x:formula>$C17&lt;0</x:formula>
    </x:cfRule>
  </x:conditionalFormatting>
  <x:pageMargins left="0.7" right="0.7" top="0.75" bottom="0.75" header="0.3" footer="0.3"/>
  <x:drawing xmlns:r="http://schemas.openxmlformats.org/officeDocument/2006/relationships" r:id="R54e6b8f40f80433a"/>
</x:worksheet>
</file>

<file path=xl/worksheets/sheet15.xml><?xml version="1.0" encoding="utf-8"?>
<x:worksheet xmlns:x="http://schemas.openxmlformats.org/spreadsheetml/2006/main">
  <x:sheetFormatPr defaultRowHeight="15"/>
  <x:cols>
    <x:col min="1" max="1" width="27" hidden="0" customWidth="1"/>
    <x:col min="2" max="2" width="10" hidden="0" customWidth="1"/>
    <x:col min="3" max="3" width="14" hidden="0" customWidth="1"/>
    <x:col min="4" max="4" width="14" hidden="0" customWidth="1"/>
    <x:col min="5" max="5" width="14" hidden="0" customWidth="1"/>
    <x:col min="6" max="6" width="14" hidden="0" customWidth="1"/>
    <x:col min="7" max="7" width="20" hidden="0" customWidth="1"/>
    <x:col min="8" max="8" width="32" hidden="0" customWidth="1"/>
    <x:col min="9" max="9" width="17" hidden="0" customWidth="1"/>
  </x:cols>
  <x:sheetData>
    <x:row r="1" ht="40" customHeight="1">
      <x:c r="A1" s="107" t="str">
        <x:v>مصفوفة القرار المرجحة - أربعة بدائل استثمارية</x:v>
      </x:c>
      <x:c r="B1" s="107" t="str">
        <x:v>مصفوفة القرار المرجحة - أربعة بدائل استثمارية</x:v>
      </x:c>
      <x:c r="C1" s="107" t="str">
        <x:v>مصفوفة القرار المرجحة - أربعة بدائل استثمارية</x:v>
      </x:c>
      <x:c r="D1" s="107" t="str">
        <x:v>مصفوفة القرار المرجحة - أربعة بدائل استثمارية</x:v>
      </x:c>
      <x:c r="E1" s="107" t="str">
        <x:v>مصفوفة القرار المرجحة - أربعة بدائل استثمارية</x:v>
      </x:c>
      <x:c r="F1" s="107" t="str">
        <x:v>مصفوفة القرار المرجحة - أربعة بدائل استثمارية</x:v>
      </x:c>
      <x:c r="G1" s="107" t="str">
        <x:v>مصفوفة القرار المرجحة - أربعة بدائل استثمارية</x:v>
      </x:c>
      <x:c r="H1" s="107" t="str">
        <x:v>مصفوفة القرار المرجحة - أربعة بدائل استثمارية</x:v>
      </x:c>
      <x:c r="I1" s="107" t="str">
        <x:v>مصفوفة القرار المرجحة - أربعة بدائل استثمارية</x:v>
      </x:c>
    </x:row>
    <x:row r="3">
      <x:c r="A3" s="119" t="str">
        <x:v>المعيار</x:v>
      </x:c>
      <x:c r="B3" s="120" t="str">
        <x:v>الوزن</x:v>
      </x:c>
      <x:c r="C3" s="120" t="str">
        <x:v>كوفي شوب</x:v>
      </x:c>
      <x:c r="D3" s="120" t="str">
        <x:v>مدرسة</x:v>
      </x:c>
      <x:c r="E3" s="120" t="str">
        <x:v>كوفي هاوس</x:v>
      </x:c>
      <x:c r="F3" s="120" t="str">
        <x:v>تأجير فساتين</x:v>
      </x:c>
      <x:c r="G3" s="120" t="str">
        <x:v>الأفضل مرجحًا</x:v>
      </x:c>
      <x:c r="H3" s="120" t="str">
        <x:v>تعليق المستثمر</x:v>
      </x:c>
      <x:c r="I3" s="121" t="str">
        <x:v>درجة الثقة</x:v>
      </x:c>
    </x:row>
    <x:row r="4" ht="25" customHeight="1">
      <x:c r="A4" s="46" t="str">
        <x:v>ملاءمة الموقع والمساحة</x:v>
      </x:c>
      <x:c r="B4" s="166" t="n">
        <x:v>14</x:v>
      </x:c>
      <x:c r="C4" s="166" t="n">
        <x:v>8</x:v>
      </x:c>
      <x:c r="D4" s="166" t="n">
        <x:v>2</x:v>
      </x:c>
      <x:c r="E4" s="166" t="n">
        <x:v>5.5</x:v>
      </x:c>
      <x:c r="F4" s="166" t="n">
        <x:v>7</x:v>
      </x:c>
      <x:c r="G4" s="46" t="str">
        <x:f>INDEX($C$3:$F$3,1,MATCH(MAX(C4:F4),C4:F4,0))</x:f>
        <x:v>كوفي شوب</x:v>
      </x:c>
      <x:c r="H4" s="46" t="str">
        <x:v>الموقع مختلف؛ الترخيص والمواقف حاسمان</x:v>
      </x:c>
      <x:c r="I4" s="46" t="str">
        <x:v>مرتفع</x:v>
      </x:c>
    </x:row>
    <x:row r="5" ht="25" customHeight="1">
      <x:c r="A5" s="46" t="str">
        <x:v>قابلية الترخيص</x:v>
      </x:c>
      <x:c r="B5" s="166" t="n">
        <x:v>12</x:v>
      </x:c>
      <x:c r="C5" s="166" t="n">
        <x:v>7</x:v>
      </x:c>
      <x:c r="D5" s="166" t="n">
        <x:v>2</x:v>
      </x:c>
      <x:c r="E5" s="166" t="n">
        <x:v>5.5</x:v>
      </x:c>
      <x:c r="F5" s="166" t="n">
        <x:v>5</x:v>
      </x:c>
      <x:c r="G5" s="46" t="str">
        <x:f>INDEX($C$3:$F$3,1,MATCH(MAX(C5:F5),C5:F5,0))</x:f>
        <x:v>كوفي شوب</x:v>
      </x:c>
      <x:c r="H5" s="46" t="str">
        <x:v>لا اعتماد دون إفادة رسمية</x:v>
      </x:c>
      <x:c r="I5" s="46" t="str">
        <x:v>مرتفع</x:v>
      </x:c>
    </x:row>
    <x:row r="6" ht="25" customHeight="1">
      <x:c r="A6" s="46" t="str">
        <x:v>الاستثمار الأولي</x:v>
      </x:c>
      <x:c r="B6" s="166" t="n">
        <x:v>10</x:v>
      </x:c>
      <x:c r="C6" s="166" t="n">
        <x:v>8</x:v>
      </x:c>
      <x:c r="D6" s="166" t="n">
        <x:v>2</x:v>
      </x:c>
      <x:c r="E6" s="166" t="n">
        <x:v>5</x:v>
      </x:c>
      <x:c r="F6" s="166" t="n">
        <x:v>8</x:v>
      </x:c>
      <x:c r="G6" s="46" t="str">
        <x:f>INDEX($C$3:$F$3,1,MATCH(MAX(C6:F6),C6:F6,0))</x:f>
        <x:v>كوفي شوب</x:v>
      </x:c>
      <x:c r="H6" s="46" t="str">
        <x:v>الفساتين الأقل تشغيليًا قبل العقار</x:v>
      </x:c>
      <x:c r="I6" s="46" t="str">
        <x:v>مرتفع</x:v>
      </x:c>
    </x:row>
    <x:row r="7" ht="25" customHeight="1">
      <x:c r="A7" s="46" t="str">
        <x:v>العائد الاقتصادي بعد العقار</x:v>
      </x:c>
      <x:c r="B7" s="166" t="n">
        <x:v>14</x:v>
      </x:c>
      <x:c r="C7" s="166" t="n">
        <x:v>7</x:v>
      </x:c>
      <x:c r="D7" s="166" t="n">
        <x:v>5.5</x:v>
      </x:c>
      <x:c r="E7" s="166" t="n">
        <x:v>4.5</x:v>
      </x:c>
      <x:c r="F7" s="166" t="n">
        <x:v>6.5</x:v>
      </x:c>
      <x:c r="G7" s="46" t="str">
        <x:f>INDEX($C$3:$F$3,1,MATCH(MAX(C7:F7),C7:F7,0))</x:f>
        <x:v>كوفي شوب</x:v>
      </x:c>
      <x:c r="H7" s="46" t="str">
        <x:v>قيمة العقار حاسمة</x:v>
      </x:c>
      <x:c r="I7" s="46" t="str">
        <x:v>متوسط</x:v>
      </x:c>
    </x:row>
    <x:row r="8" ht="25" customHeight="1">
      <x:c r="A8" s="46" t="str">
        <x:v>الطلب والمنافسة</x:v>
      </x:c>
      <x:c r="B8" s="166" t="n">
        <x:v>10</x:v>
      </x:c>
      <x:c r="C8" s="166" t="n">
        <x:v>6</x:v>
      </x:c>
      <x:c r="D8" s="166" t="n">
        <x:v>5</x:v>
      </x:c>
      <x:c r="E8" s="166" t="n">
        <x:v>4.5</x:v>
      </x:c>
      <x:c r="F8" s="166" t="n">
        <x:v>6</x:v>
      </x:c>
      <x:c r="G8" s="46" t="str">
        <x:f>INDEX($C$3:$F$3,1,MATCH(MAX(C8:F8),C8:F8,0))</x:f>
        <x:v>كوفي شوب</x:v>
      </x:c>
      <x:c r="H8" s="46" t="str">
        <x:v>يتطلب اختبار طلب محلي</x:v>
      </x:c>
      <x:c r="I8" s="46" t="str">
        <x:v>متوسط</x:v>
      </x:c>
    </x:row>
    <x:row r="9" ht="25" customHeight="1">
      <x:c r="A9" s="46" t="str">
        <x:v>استقرار الإيرادات</x:v>
      </x:c>
      <x:c r="B9" s="166" t="n">
        <x:v>9</x:v>
      </x:c>
      <x:c r="C9" s="166" t="n">
        <x:v>5.5</x:v>
      </x:c>
      <x:c r="D9" s="166" t="n">
        <x:v>8</x:v>
      </x:c>
      <x:c r="E9" s="166" t="n">
        <x:v>6</x:v>
      </x:c>
      <x:c r="F9" s="166" t="n">
        <x:v>5</x:v>
      </x:c>
      <x:c r="G9" s="46" t="str">
        <x:f>INDEX($C$3:$F$3,1,MATCH(MAX(C9:F9),C9:F9,0))</x:f>
        <x:v>مدرسة</x:v>
      </x:c>
      <x:c r="H9" s="46" t="str">
        <x:v>الفساتين موسمية وحساسة للموضة</x:v>
      </x:c>
      <x:c r="I9" s="46" t="str">
        <x:v>متوسط</x:v>
      </x:c>
    </x:row>
    <x:row r="10" ht="25" customHeight="1">
      <x:c r="A10" s="46" t="str">
        <x:v>مدة التنفيذ</x:v>
      </x:c>
      <x:c r="B10" s="166" t="n">
        <x:v>8</x:v>
      </x:c>
      <x:c r="C10" s="166" t="n">
        <x:v>8</x:v>
      </x:c>
      <x:c r="D10" s="166" t="n">
        <x:v>3</x:v>
      </x:c>
      <x:c r="E10" s="166" t="n">
        <x:v>6</x:v>
      </x:c>
      <x:c r="F10" s="166" t="n">
        <x:v>8</x:v>
      </x:c>
      <x:c r="G10" s="46" t="str">
        <x:f>INDEX($C$3:$F$3,1,MATCH(MAX(C10:F10),C10:F10,0))</x:f>
        <x:v>كوفي شوب</x:v>
      </x:c>
      <x:c r="H10" s="46" t="str">
        <x:v>المبنى قائم ويحتاج صيانة</x:v>
      </x:c>
      <x:c r="I10" s="46" t="str">
        <x:v>مرتفع</x:v>
      </x:c>
    </x:row>
    <x:row r="11" ht="25" customHeight="1">
      <x:c r="A11" s="46" t="str">
        <x:v>المرونة والتخارج</x:v>
      </x:c>
      <x:c r="B11" s="166" t="n">
        <x:v>8</x:v>
      </x:c>
      <x:c r="C11" s="166" t="n">
        <x:v>8</x:v>
      </x:c>
      <x:c r="D11" s="166" t="n">
        <x:v>3.5</x:v>
      </x:c>
      <x:c r="E11" s="166" t="n">
        <x:v>6.5</x:v>
      </x:c>
      <x:c r="F11" s="166" t="n">
        <x:v>8</x:v>
      </x:c>
      <x:c r="G11" s="46" t="str">
        <x:f>INDEX($C$3:$F$3,1,MATCH(MAX(C11:F11),C11:F11,0))</x:f>
        <x:v>كوفي شوب</x:v>
      </x:c>
      <x:c r="H11" s="46" t="str">
        <x:v>العقار القائم يدعم التخارج</x:v>
      </x:c>
      <x:c r="I11" s="46" t="str">
        <x:v>مرتفع</x:v>
      </x:c>
    </x:row>
    <x:row r="12" ht="25" customHeight="1">
      <x:c r="A12" s="46" t="str">
        <x:v>عبء الإدارة</x:v>
      </x:c>
      <x:c r="B12" s="166" t="n">
        <x:v>6</x:v>
      </x:c>
      <x:c r="C12" s="166" t="n">
        <x:v>5</x:v>
      </x:c>
      <x:c r="D12" s="166" t="n">
        <x:v>4</x:v>
      </x:c>
      <x:c r="E12" s="166" t="n">
        <x:v>3.5</x:v>
      </x:c>
      <x:c r="F12" s="166" t="n">
        <x:v>6</x:v>
      </x:c>
      <x:c r="G12" s="46" t="str">
        <x:f>INDEX($C$3:$F$3,1,MATCH(MAX(C12:F12),C12:F12,0))</x:f>
        <x:v>تأجير فساتين</x:v>
      </x:c>
      <x:c r="H12" s="46" t="str">
        <x:v>إدارة المخزون والمواعيد أساسية</x:v>
      </x:c>
      <x:c r="I12" s="46" t="str">
        <x:v>متوسط</x:v>
      </x:c>
    </x:row>
    <x:row r="13" ht="25" customHeight="1">
      <x:c r="A13" s="46" t="str">
        <x:v>مخاطر التمويل</x:v>
      </x:c>
      <x:c r="B13" s="166" t="n">
        <x:v>5</x:v>
      </x:c>
      <x:c r="C13" s="166" t="n">
        <x:v>7</x:v>
      </x:c>
      <x:c r="D13" s="166" t="n">
        <x:v>3</x:v>
      </x:c>
      <x:c r="E13" s="166" t="n">
        <x:v>5</x:v>
      </x:c>
      <x:c r="F13" s="166" t="n">
        <x:v>7</x:v>
      </x:c>
      <x:c r="G13" s="46" t="str">
        <x:f>INDEX($C$3:$F$3,1,MATCH(MAX(C13:F13),C13:F13,0))</x:f>
        <x:v>كوفي شوب</x:v>
      </x:c>
      <x:c r="H13" s="46" t="str">
        <x:v>يتحسن مع تمويل منخفض</x:v>
      </x:c>
      <x:c r="I13" s="46" t="str">
        <x:v>متوسط</x:v>
      </x:c>
    </x:row>
    <x:row r="14" ht="25" customHeight="1">
      <x:c r="A14" s="46" t="str">
        <x:v>الأثر الاجتماعي</x:v>
      </x:c>
      <x:c r="B14" s="166" t="n">
        <x:v>4</x:v>
      </x:c>
      <x:c r="C14" s="166" t="n">
        <x:v>4</x:v>
      </x:c>
      <x:c r="D14" s="166" t="n">
        <x:v>10</x:v>
      </x:c>
      <x:c r="E14" s="166" t="n">
        <x:v>5</x:v>
      </x:c>
      <x:c r="F14" s="166" t="n">
        <x:v>4</x:v>
      </x:c>
      <x:c r="G14" s="46" t="str">
        <x:f>INDEX($C$3:$F$3,1,MATCH(MAX(C14:F14),C14:F14,0))</x:f>
        <x:v>مدرسة</x:v>
      </x:c>
      <x:c r="H14" s="46" t="str">
        <x:v>الأثر الاقتصادي مباشر</x:v>
      </x:c>
      <x:c r="I14" s="46" t="str">
        <x:v>مرتفع</x:v>
      </x:c>
    </x:row>
    <x:row r="15" ht="38" customHeight="1">
      <x:c r="A15" s="141" t="str">
        <x:v>النتيجة النهائية</x:v>
      </x:c>
      <x:c r="B15" s="141" t="n">
        <x:v>100</x:v>
      </x:c>
      <x:c r="C15" s="141" t="n">
        <x:f>SUMPRODUCT($B$4:$B$14,C4:C14)/10</x:f>
        <x:v>69.25</x:v>
      </x:c>
      <x:c r="D15" s="141" t="n">
        <x:f>SUMPRODUCT($B$4:$B$14,D4:D14)/10</x:f>
        <x:v>40.2</x:v>
      </x:c>
      <x:c r="E15" s="141" t="n">
        <x:f>SUMPRODUCT($B$4:$B$14,E4:E14)/10</x:f>
        <x:v>52.1</x:v>
      </x:c>
      <x:c r="F15" s="141" t="n">
        <x:f>SUMPRODUCT($B$4:$B$14,F4:F14)/10</x:f>
        <x:v>64.9</x:v>
      </x:c>
      <x:c r="G15" s="141" t="str">
        <x:f>INDEX($C$3:$F$3,1,MATCH(MAX(C15:F15),C15:F15,0))</x:f>
        <x:v>كوفي شوب</x:v>
      </x:c>
      <x:c r="H15" s="141" t="str">
        <x:v>الكوفي شوب أولًا؛ الفساتين ثانيًا بشرط التحقق</x:v>
      </x:c>
      <x:c r="I15" s="141" t="str">
        <x:v>متوسط-مرتفع</x:v>
      </x:c>
    </x:row>
  </x:sheetData>
  <x:mergeCells>
    <x:mergeCell ref="A1:I1"/>
  </x:mergeCells>
  <x:dataValidations count="2">
    <x:dataValidation type="decimal" operator="between" sqref="B4:B14">
      <x:formula1>0</x:formula1>
      <x:formula2>100</x:formula2>
    </x:dataValidation>
    <x:dataValidation type="decimal" operator="between" sqref="C4:E14">
      <x:formula1>0</x:formula1>
      <x:formula2>10</x:formula2>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32" hidden="0" customWidth="1"/>
    <x:col min="2" max="2" width="16" hidden="0" customWidth="1"/>
    <x:col min="3" max="3" width="14" hidden="0" customWidth="1"/>
    <x:col min="4" max="4" width="4"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s>
  <x:sheetData>
    <x:row r="1">
      <x:c r="A1" s="76" t="str">
        <x:v>مدخلات النموذج الديناميكي - غيّر الخلايا الصفراء فقط</x:v>
      </x:c>
      <x:c r="B1" s="76"/>
      <x:c r="C1" s="76"/>
      <x:c r="D1" s="76"/>
      <x:c r="E1" s="76"/>
      <x:c r="F1" s="76"/>
      <x:c r="G1" s="76"/>
      <x:c r="H1" s="76"/>
      <x:c r="I1" s="76"/>
      <x:c r="J1" s="76"/>
      <x:c r="K1" s="76"/>
      <x:c r="L1" s="76"/>
    </x:row>
    <x:row r="2">
      <x:c r="A2" s="76"/>
      <x:c r="B2" s="76"/>
      <x:c r="C2" s="76"/>
      <x:c r="D2" s="76"/>
      <x:c r="E2" s="76"/>
      <x:c r="F2" s="76"/>
      <x:c r="G2" s="76"/>
      <x:c r="H2" s="76"/>
      <x:c r="I2" s="76"/>
      <x:c r="J2" s="76"/>
      <x:c r="K2" s="76"/>
      <x:c r="L2" s="76"/>
    </x:row>
    <x:row r="3">
      <x:c r="A3" s="79" t="str">
        <x:v>جميع النتائج في الرواتب والتكاليف والنماذج المالية ولوحة المستثمر تتحدث تلقائيًا</x:v>
      </x:c>
      <x:c r="B3" s="79"/>
      <x:c r="C3" s="79"/>
      <x:c r="D3" s="79"/>
      <x:c r="E3" s="79"/>
      <x:c r="F3" s="79"/>
      <x:c r="G3" s="79"/>
      <x:c r="H3" s="79"/>
      <x:c r="I3" s="79"/>
      <x:c r="J3" s="79"/>
      <x:c r="K3" s="79"/>
      <x:c r="L3" s="79"/>
    </x:row>
    <x:row r="5">
      <x:c r="A5" s="81" t="str">
        <x:v>كوفي شوب</x:v>
      </x:c>
      <x:c r="B5" s="81"/>
      <x:c r="C5" s="81"/>
      <x:c r="D5" s="81"/>
      <x:c r="E5" s="81" t="str">
        <x:v>نمو الإيرادات السنوي - كوفي شوب</x:v>
      </x:c>
      <x:c r="F5" s="81"/>
      <x:c r="G5" s="81"/>
      <x:c r="H5" s="81"/>
      <x:c r="I5" s="81"/>
      <x:c r="J5" s="81"/>
      <x:c r="K5" s="81"/>
      <x:c r="L5" s="81"/>
    </x:row>
    <x:row r="6">
      <x:c r="A6" s="69" t="str">
        <x:v>الافتراض</x:v>
      </x:c>
      <x:c r="B6" s="69" t="str">
        <x:v>القيمة</x:v>
      </x:c>
      <x:c r="C6" s="69" t="str">
        <x:v>الوحدة</x:v>
      </x:c>
      <x:c r="E6" s="69" t="str">
        <x:v>سنة 2</x:v>
      </x:c>
      <x:c r="F6" s="69" t="str">
        <x:v>سنة 3</x:v>
      </x:c>
      <x:c r="G6" s="69" t="str">
        <x:v>سنة 4</x:v>
      </x:c>
      <x:c r="H6" s="69" t="str">
        <x:v>سنة 5</x:v>
      </x:c>
      <x:c r="I6" s="69" t="str">
        <x:v>سنة 6</x:v>
      </x:c>
      <x:c r="J6" s="69" t="str">
        <x:v>سنة 7</x:v>
      </x:c>
      <x:c r="K6" s="69" t="str">
        <x:v>سنة 8</x:v>
      </x:c>
      <x:c r="L6" s="69" t="str">
        <x:v>سنة 9</x:v>
      </x:c>
      <x:c r="M6" s="69" t="str">
        <x:v>سنة 10</x:v>
      </x:c>
    </x:row>
    <x:row r="7">
      <x:c r="A7" t="str">
        <x:v>العمليات اليومية</x:v>
      </x:c>
      <x:c r="B7" s="71" t="n">
        <x:v>205</x:v>
      </x:c>
      <x:c r="C7" t="str">
        <x:v>عملية</x:v>
      </x:c>
      <x:c r="E7" s="72" t="n">
        <x:v>0.12</x:v>
      </x:c>
      <x:c r="F7" s="72" t="n">
        <x:v>0.09</x:v>
      </x:c>
      <x:c r="G7" s="72" t="n">
        <x:v>0.07</x:v>
      </x:c>
      <x:c r="H7" s="72" t="n">
        <x:v>0.06</x:v>
      </x:c>
      <x:c r="I7" s="72" t="n">
        <x:v>0.05</x:v>
      </x:c>
      <x:c r="J7" s="72" t="n">
        <x:v>0.045</x:v>
      </x:c>
      <x:c r="K7" s="72" t="n">
        <x:v>0.04</x:v>
      </x:c>
      <x:c r="L7" s="72" t="n">
        <x:v>0.035</x:v>
      </x:c>
      <x:c r="M7" s="72" t="n">
        <x:v>0.03</x:v>
      </x:c>
    </x:row>
    <x:row r="8">
      <x:c r="A8" t="str">
        <x:v>متوسط الفاتورة</x:v>
      </x:c>
      <x:c r="B8" s="82" t="n">
        <x:v>6.1</x:v>
      </x:c>
      <x:c r="C8" t="str">
        <x:v>JOD</x:v>
      </x:c>
    </x:row>
    <x:row r="9">
      <x:c r="A9" t="str">
        <x:v>أيام التشغيل</x:v>
      </x:c>
      <x:c r="B9" s="71" t="n">
        <x:v>350</x:v>
      </x:c>
      <x:c r="C9" t="str">
        <x:v>يوم</x:v>
      </x:c>
    </x:row>
    <x:row r="10">
      <x:c r="A10" t="str">
        <x:v>نسبة تكلفة المواد</x:v>
      </x:c>
      <x:c r="B10" s="72" t="n">
        <x:v>0.31</x:v>
      </x:c>
      <x:c r="C10" t="str">
        <x:v>%</x:v>
      </x:c>
    </x:row>
    <x:row r="11">
      <x:c r="A11" t="str">
        <x:v>نسبة الدين</x:v>
      </x:c>
      <x:c r="B11" s="72" t="n">
        <x:v>0.4</x:v>
      </x:c>
      <x:c r="C11" t="str">
        <x:v>%</x:v>
      </x:c>
    </x:row>
    <x:row r="12">
      <x:c r="A12" t="str">
        <x:v>مدة القرض</x:v>
      </x:c>
      <x:c r="B12" s="71" t="n">
        <x:v>7</x:v>
      </x:c>
      <x:c r="C12" t="str">
        <x:v>سنة</x:v>
      </x:c>
    </x:row>
    <x:row r="13">
      <x:c r="A13" t="str">
        <x:v>مضاعف القيمة النهائية</x:v>
      </x:c>
      <x:c r="B13" s="83" t="n">
        <x:v>5</x:v>
      </x:c>
      <x:c r="C13" t="str">
        <x:v>x</x:v>
      </x:c>
    </x:row>
    <x:row r="20">
      <x:c r="A20" s="81" t="str">
        <x:v>مدرسة ثانوية خاصة</x:v>
      </x:c>
      <x:c r="B20" s="81"/>
      <x:c r="C20" s="81"/>
      <x:c r="D20" s="81"/>
      <x:c r="E20" s="81" t="str">
        <x:v>نمو الإيرادات السنوي - مدرسة ثانوية خاصة</x:v>
      </x:c>
      <x:c r="F20" s="81"/>
      <x:c r="G20" s="81"/>
      <x:c r="H20" s="81"/>
      <x:c r="I20" s="81"/>
      <x:c r="J20" s="81"/>
      <x:c r="K20" s="81"/>
      <x:c r="L20" s="81"/>
    </x:row>
    <x:row r="21">
      <x:c r="A21" s="69" t="str">
        <x:v>الافتراض</x:v>
      </x:c>
      <x:c r="B21" s="69" t="str">
        <x:v>القيمة</x:v>
      </x:c>
      <x:c r="C21" s="69" t="str">
        <x:v>الوحدة</x:v>
      </x:c>
      <x:c r="E21" s="69" t="str">
        <x:v>سنة 2</x:v>
      </x:c>
      <x:c r="F21" s="69" t="str">
        <x:v>سنة 3</x:v>
      </x:c>
      <x:c r="G21" s="69" t="str">
        <x:v>سنة 4</x:v>
      </x:c>
      <x:c r="H21" s="69" t="str">
        <x:v>سنة 5</x:v>
      </x:c>
      <x:c r="I21" s="69" t="str">
        <x:v>سنة 6</x:v>
      </x:c>
      <x:c r="J21" s="69" t="str">
        <x:v>سنة 7</x:v>
      </x:c>
      <x:c r="K21" s="69" t="str">
        <x:v>سنة 8</x:v>
      </x:c>
      <x:c r="L21" s="69" t="str">
        <x:v>سنة 9</x:v>
      </x:c>
      <x:c r="M21" s="69" t="str">
        <x:v>سنة 10</x:v>
      </x:c>
    </x:row>
    <x:row r="22">
      <x:c r="A22" t="str">
        <x:v>عدد الطلاب سنة 1</x:v>
      </x:c>
      <x:c r="B22" s="71" t="n">
        <x:v>210</x:v>
      </x:c>
      <x:c r="C22" t="str">
        <x:v>طالب</x:v>
      </x:c>
      <x:c r="E22" s="72" t="n">
        <x:v>0.2</x:v>
      </x:c>
      <x:c r="F22" s="72" t="n">
        <x:v>0.16</x:v>
      </x:c>
      <x:c r="G22" s="72" t="n">
        <x:v>0.12</x:v>
      </x:c>
      <x:c r="H22" s="72" t="n">
        <x:v>0.08</x:v>
      </x:c>
      <x:c r="I22" s="72" t="n">
        <x:v>0.06</x:v>
      </x:c>
      <x:c r="J22" s="72" t="n">
        <x:v>0.05</x:v>
      </x:c>
      <x:c r="K22" s="72" t="n">
        <x:v>0.04</x:v>
      </x:c>
      <x:c r="L22" s="72" t="n">
        <x:v>0.035</x:v>
      </x:c>
      <x:c r="M22" s="72" t="n">
        <x:v>0.03</x:v>
      </x:c>
    </x:row>
    <x:row r="23">
      <x:c r="A23" t="str">
        <x:v>الرسم السنوي</x:v>
      </x:c>
      <x:c r="B23" s="82" t="n">
        <x:v>3650</x:v>
      </x:c>
      <x:c r="C23" t="str">
        <x:v>JOD</x:v>
      </x:c>
    </x:row>
    <x:row r="24">
      <x:c r="A24" t="str">
        <x:v>نسبة الخصومات</x:v>
      </x:c>
      <x:c r="B24" s="72" t="n">
        <x:v>0.1</x:v>
      </x:c>
      <x:c r="C24" t="str">
        <x:v>%</x:v>
      </x:c>
    </x:row>
    <x:row r="25">
      <x:c r="A25" t="str">
        <x:v>طلاب النقل</x:v>
      </x:c>
      <x:c r="B25" s="71" t="n">
        <x:v>110</x:v>
      </x:c>
      <x:c r="C25" t="str">
        <x:v>طالب</x:v>
      </x:c>
    </x:row>
    <x:row r="26">
      <x:c r="A26" t="str">
        <x:v>رسم النقل</x:v>
      </x:c>
      <x:c r="B26" s="82" t="n">
        <x:v>700</x:v>
      </x:c>
      <x:c r="C26" t="str">
        <x:v>JOD</x:v>
      </x:c>
    </x:row>
    <x:row r="27">
      <x:c r="A27" t="str">
        <x:v>إيراد إضافي لكل طالب</x:v>
      </x:c>
      <x:c r="B27" s="82" t="n">
        <x:v>250</x:v>
      </x:c>
      <x:c r="C27" t="str">
        <x:v>JOD</x:v>
      </x:c>
    </x:row>
    <x:row r="28">
      <x:c r="A28" t="str">
        <x:v>نسبة تكلفة الخدمة</x:v>
      </x:c>
      <x:c r="B28" s="72" t="n">
        <x:v>0.08</x:v>
      </x:c>
      <x:c r="C28" t="str">
        <x:v>%</x:v>
      </x:c>
    </x:row>
    <x:row r="29">
      <x:c r="A29" t="str">
        <x:v>نسبة الدين</x:v>
      </x:c>
      <x:c r="B29" s="72" t="n">
        <x:v>0.35</x:v>
      </x:c>
      <x:c r="C29" t="str">
        <x:v>%</x:v>
      </x:c>
    </x:row>
    <x:row r="30">
      <x:c r="A30" t="str">
        <x:v>مدة القرض</x:v>
      </x:c>
      <x:c r="B30" s="71" t="n">
        <x:v>10</x:v>
      </x:c>
      <x:c r="C30" t="str">
        <x:v>سنة</x:v>
      </x:c>
    </x:row>
    <x:row r="31">
      <x:c r="A31" t="str">
        <x:v>مضاعف القيمة النهائية</x:v>
      </x:c>
      <x:c r="B31" s="83" t="n">
        <x:v>7</x:v>
      </x:c>
      <x:c r="C31" t="str">
        <x:v>x</x:v>
      </x:c>
    </x:row>
    <x:row r="38">
      <x:c r="A38" s="81" t="str">
        <x:v>كوفي هاوس</x:v>
      </x:c>
      <x:c r="B38" s="81"/>
      <x:c r="C38" s="81"/>
      <x:c r="D38" s="81"/>
      <x:c r="E38" s="81" t="str">
        <x:v>نمو الإيرادات السنوي - كوفي هاوس</x:v>
      </x:c>
      <x:c r="F38" s="81"/>
      <x:c r="G38" s="81"/>
      <x:c r="H38" s="81"/>
      <x:c r="I38" s="81"/>
      <x:c r="J38" s="81"/>
      <x:c r="K38" s="81"/>
      <x:c r="L38" s="81"/>
    </x:row>
    <x:row r="39">
      <x:c r="A39" s="69" t="str">
        <x:v>الافتراض</x:v>
      </x:c>
      <x:c r="B39" s="69" t="str">
        <x:v>القيمة</x:v>
      </x:c>
      <x:c r="C39" s="69" t="str">
        <x:v>الوحدة</x:v>
      </x:c>
      <x:c r="E39" s="69" t="str">
        <x:v>سنة 2</x:v>
      </x:c>
      <x:c r="F39" s="69" t="str">
        <x:v>سنة 3</x:v>
      </x:c>
      <x:c r="G39" s="69" t="str">
        <x:v>سنة 4</x:v>
      </x:c>
      <x:c r="H39" s="69" t="str">
        <x:v>سنة 5</x:v>
      </x:c>
      <x:c r="I39" s="69" t="str">
        <x:v>سنة 6</x:v>
      </x:c>
      <x:c r="J39" s="69" t="str">
        <x:v>سنة 7</x:v>
      </x:c>
      <x:c r="K39" s="69" t="str">
        <x:v>سنة 8</x:v>
      </x:c>
      <x:c r="L39" s="69" t="str">
        <x:v>سنة 9</x:v>
      </x:c>
      <x:c r="M39" s="69" t="str">
        <x:v>سنة 10</x:v>
      </x:c>
    </x:row>
    <x:row r="40">
      <x:c r="A40" t="str">
        <x:v>العمليات اليومية</x:v>
      </x:c>
      <x:c r="B40" s="71" t="n">
        <x:v>270</x:v>
      </x:c>
      <x:c r="C40" t="str">
        <x:v>عملية</x:v>
      </x:c>
      <x:c r="E40" s="72" t="n">
        <x:v>0.12</x:v>
      </x:c>
      <x:c r="F40" s="72" t="n">
        <x:v>0.09</x:v>
      </x:c>
      <x:c r="G40" s="72" t="n">
        <x:v>0.07</x:v>
      </x:c>
      <x:c r="H40" s="72" t="n">
        <x:v>0.06</x:v>
      </x:c>
      <x:c r="I40" s="72" t="n">
        <x:v>0.05</x:v>
      </x:c>
      <x:c r="J40" s="72" t="n">
        <x:v>0.045</x:v>
      </x:c>
      <x:c r="K40" s="72" t="n">
        <x:v>0.04</x:v>
      </x:c>
      <x:c r="L40" s="72" t="n">
        <x:v>0.035</x:v>
      </x:c>
      <x:c r="M40" s="72" t="n">
        <x:v>0.03</x:v>
      </x:c>
    </x:row>
    <x:row r="41">
      <x:c r="A41" t="str">
        <x:v>متوسط الفاتورة</x:v>
      </x:c>
      <x:c r="B41" s="82" t="n">
        <x:v>7.3</x:v>
      </x:c>
      <x:c r="C41" t="str">
        <x:v>JOD</x:v>
      </x:c>
    </x:row>
    <x:row r="42">
      <x:c r="A42" t="str">
        <x:v>أيام التشغيل</x:v>
      </x:c>
      <x:c r="B42" s="71" t="n">
        <x:v>350</x:v>
      </x:c>
      <x:c r="C42" t="str">
        <x:v>يوم</x:v>
      </x:c>
    </x:row>
    <x:row r="43">
      <x:c r="A43" t="str">
        <x:v>إيراد الفعاليات سنة 1</x:v>
      </x:c>
      <x:c r="B43" s="82" t="n">
        <x:v>22000</x:v>
      </x:c>
      <x:c r="C43" t="str">
        <x:v>JOD</x:v>
      </x:c>
    </x:row>
    <x:row r="44">
      <x:c r="A44" t="str">
        <x:v>نسبة تكلفة المواد</x:v>
      </x:c>
      <x:c r="B44" s="72" t="n">
        <x:v>0.35</x:v>
      </x:c>
      <x:c r="C44" t="str">
        <x:v>%</x:v>
      </x:c>
    </x:row>
    <x:row r="45">
      <x:c r="A45" t="str">
        <x:v>نسبة الدين</x:v>
      </x:c>
      <x:c r="B45" s="72" t="n">
        <x:v>0.4</x:v>
      </x:c>
      <x:c r="C45" t="str">
        <x:v>%</x:v>
      </x:c>
    </x:row>
    <x:row r="46">
      <x:c r="A46" t="str">
        <x:v>مدة القرض</x:v>
      </x:c>
      <x:c r="B46" s="71" t="n">
        <x:v>8</x:v>
      </x:c>
      <x:c r="C46" t="str">
        <x:v>سنة</x:v>
      </x:c>
    </x:row>
    <x:row r="47">
      <x:c r="A47" t="str">
        <x:v>مضاعف القيمة النهائية</x:v>
      </x:c>
      <x:c r="B47" s="83" t="n">
        <x:v>5.5</x:v>
      </x:c>
      <x:c r="C47" t="str">
        <x:v>x</x:v>
      </x:c>
    </x:row>
    <x:row r="55">
      <x:c r="A55" s="144" t="str">
        <x:v>تأجير فساتين الزفاف - أرض السهل</x:v>
      </x:c>
      <x:c r="B55" s="144"/>
      <x:c r="C55" s="144"/>
      <x:c r="D55"/>
      <x:c r="E55" s="144" t="str">
        <x:v>نمو الإيرادات السنوي - تأجير فساتين الزفاف</x:v>
      </x:c>
      <x:c r="F55" s="144"/>
      <x:c r="G55" s="144"/>
      <x:c r="H55" s="144"/>
      <x:c r="I55" s="144"/>
      <x:c r="J55" s="144"/>
      <x:c r="K55" s="144"/>
      <x:c r="L55" s="144"/>
      <x:c r="M55" s="144"/>
    </x:row>
    <x:row r="56">
      <x:c r="A56" s="119" t="str">
        <x:v>الافتراض</x:v>
      </x:c>
      <x:c r="B56" s="120" t="str">
        <x:v>القيمة</x:v>
      </x:c>
      <x:c r="C56" s="121" t="str">
        <x:v>الوحدة</x:v>
      </x:c>
      <x:c r="D56"/>
      <x:c r="E56" s="119" t="str">
        <x:v>سنة 2</x:v>
      </x:c>
      <x:c r="F56" s="120" t="str">
        <x:v>سنة 3</x:v>
      </x:c>
      <x:c r="G56" s="120" t="str">
        <x:v>سنة 4</x:v>
      </x:c>
      <x:c r="H56" s="120" t="str">
        <x:v>سنة 5</x:v>
      </x:c>
      <x:c r="I56" s="120" t="str">
        <x:v>سنة 6</x:v>
      </x:c>
      <x:c r="J56" s="120" t="str">
        <x:v>سنة 7</x:v>
      </x:c>
      <x:c r="K56" s="120" t="str">
        <x:v>سنة 8</x:v>
      </x:c>
      <x:c r="L56" s="120" t="str">
        <x:v>سنة 9</x:v>
      </x:c>
      <x:c r="M56" s="121" t="str">
        <x:v>سنة 10</x:v>
      </x:c>
    </x:row>
    <x:row r="57">
      <x:c r="A57" t="str">
        <x:v>عدد الفساتين التقديري</x:v>
      </x:c>
      <x:c r="B57" s="124" t="n">
        <x:v>80</x:v>
      </x:c>
      <x:c r="C57" t="str">
        <x:v>فستان</x:v>
      </x:c>
      <x:c r="D57"/>
      <x:c r="E57" s="145" t="n">
        <x:v>0.1</x:v>
      </x:c>
      <x:c r="F57" s="145" t="n">
        <x:v>0.08</x:v>
      </x:c>
      <x:c r="G57" s="145" t="n">
        <x:v>0.07</x:v>
      </x:c>
      <x:c r="H57" s="145" t="n">
        <x:v>0.06</x:v>
      </x:c>
      <x:c r="I57" s="145" t="n">
        <x:v>0.05</x:v>
      </x:c>
      <x:c r="J57" s="145" t="n">
        <x:v>0.04</x:v>
      </x:c>
      <x:c r="K57" s="145" t="n">
        <x:v>0.04</x:v>
      </x:c>
      <x:c r="L57" s="145" t="n">
        <x:v>0.03</x:v>
      </x:c>
      <x:c r="M57" s="145" t="n">
        <x:v>0.03</x:v>
      </x:c>
    </x:row>
    <x:row r="58">
      <x:c r="A58" t="str">
        <x:v>مرات التأجير للفستان سنويًا</x:v>
      </x:c>
      <x:c r="B58" s="124" t="n">
        <x:v>4</x:v>
      </x:c>
      <x:c r="C58" t="str">
        <x:v>مرة</x:v>
      </x:c>
      <x:c r="D58"/>
      <x:c r="E58"/>
      <x:c r="F58"/>
      <x:c r="G58"/>
      <x:c r="H58"/>
      <x:c r="I58"/>
      <x:c r="J58"/>
      <x:c r="K58"/>
      <x:c r="L58"/>
      <x:c r="M58"/>
    </x:row>
    <x:row r="59">
      <x:c r="A59" t="str">
        <x:v>متوسط سعر التأجير</x:v>
      </x:c>
      <x:c r="B59" s="124" t="n">
        <x:v>450</x:v>
      </x:c>
      <x:c r="C59" t="str">
        <x:v>JOD</x:v>
      </x:c>
      <x:c r="D59"/>
      <x:c r="E59"/>
      <x:c r="F59"/>
      <x:c r="G59"/>
      <x:c r="H59"/>
      <x:c r="I59"/>
      <x:c r="J59"/>
      <x:c r="K59"/>
      <x:c r="L59"/>
      <x:c r="M59"/>
    </x:row>
    <x:row r="60">
      <x:c r="A60" t="str">
        <x:v>خصومات/إلغاءات</x:v>
      </x:c>
      <x:c r="B60" s="145" t="n">
        <x:v>0.05</x:v>
      </x:c>
      <x:c r="C60" t="str">
        <x:v>%</x:v>
      </x:c>
      <x:c r="D60"/>
      <x:c r="E60"/>
      <x:c r="F60"/>
      <x:c r="G60"/>
      <x:c r="H60"/>
      <x:c r="I60"/>
      <x:c r="J60"/>
      <x:c r="K60"/>
      <x:c r="L60"/>
      <x:c r="M60"/>
    </x:row>
    <x:row r="61">
      <x:c r="A61" t="str">
        <x:v>إيرادات إضافية سنة 1</x:v>
      </x:c>
      <x:c r="B61" s="124" t="n">
        <x:v>12000</x:v>
      </x:c>
      <x:c r="C61" t="str">
        <x:v>JOD</x:v>
      </x:c>
      <x:c r="D61"/>
      <x:c r="E61"/>
      <x:c r="F61"/>
      <x:c r="G61"/>
      <x:c r="H61"/>
      <x:c r="I61"/>
      <x:c r="J61"/>
      <x:c r="K61"/>
      <x:c r="L61"/>
      <x:c r="M61"/>
    </x:row>
    <x:row r="62">
      <x:c r="A62" t="str">
        <x:v>نسبة تكلفة الخدمة</x:v>
      </x:c>
      <x:c r="B62" s="145" t="n">
        <x:v>0.18</x:v>
      </x:c>
      <x:c r="C62" t="str">
        <x:v>%</x:v>
      </x:c>
      <x:c r="D62"/>
      <x:c r="E62"/>
      <x:c r="F62"/>
      <x:c r="G62"/>
      <x:c r="H62"/>
      <x:c r="I62"/>
      <x:c r="J62"/>
      <x:c r="K62"/>
      <x:c r="L62"/>
      <x:c r="M62"/>
    </x:row>
    <x:row r="63">
      <x:c r="A63" t="str">
        <x:v>نسبة الدين</x:v>
      </x:c>
      <x:c r="B63" s="145" t="n">
        <x:v>0.35</x:v>
      </x:c>
      <x:c r="C63" t="str">
        <x:v>%</x:v>
      </x:c>
      <x:c r="D63"/>
      <x:c r="E63"/>
      <x:c r="F63"/>
      <x:c r="G63"/>
      <x:c r="H63"/>
      <x:c r="I63"/>
      <x:c r="J63"/>
      <x:c r="K63"/>
      <x:c r="L63"/>
      <x:c r="M63"/>
    </x:row>
    <x:row r="64">
      <x:c r="A64" t="str">
        <x:v>مدة القرض</x:v>
      </x:c>
      <x:c r="B64" s="124" t="n">
        <x:v>7</x:v>
      </x:c>
      <x:c r="C64" t="str">
        <x:v>سنة</x:v>
      </x:c>
      <x:c r="D64"/>
      <x:c r="E64"/>
      <x:c r="F64"/>
      <x:c r="G64"/>
      <x:c r="H64"/>
      <x:c r="I64"/>
      <x:c r="J64"/>
      <x:c r="K64"/>
      <x:c r="L64"/>
      <x:c r="M64"/>
    </x:row>
    <x:row r="65">
      <x:c r="A65" t="str">
        <x:v>مضاعف القيمة النهائية</x:v>
      </x:c>
      <x:c r="B65" s="146" t="n">
        <x:v>4.5</x:v>
      </x:c>
      <x:c r="C65" t="str">
        <x:v>x</x:v>
      </x:c>
      <x:c r="D65"/>
      <x:c r="E65"/>
      <x:c r="F65"/>
      <x:c r="G65"/>
      <x:c r="H65"/>
      <x:c r="I65"/>
      <x:c r="J65"/>
      <x:c r="K65"/>
      <x:c r="L65"/>
      <x:c r="M65"/>
    </x:row>
    <x:row r="66">
      <x:c r="A66" t="str">
        <x:v>تجديد البضاعة سنويًا</x:v>
      </x:c>
      <x:c r="B66" s="145" t="n">
        <x:v>0.1</x:v>
      </x:c>
      <x:c r="C66" t="str">
        <x:v>% من البضاعة</x:v>
      </x:c>
      <x:c r="D66"/>
      <x:c r="E66"/>
      <x:c r="F66"/>
      <x:c r="G66"/>
      <x:c r="H66"/>
      <x:c r="I66"/>
      <x:c r="J66"/>
      <x:c r="K66"/>
      <x:c r="L66"/>
      <x:c r="M66"/>
    </x:row>
    <x:row r="67">
      <x:c r="A67" t="str">
        <x:v>رأس المال العامل</x:v>
      </x:c>
      <x:c r="B67" s="145" t="n">
        <x:v>0.08</x:v>
      </x:c>
      <x:c r="C67" t="str">
        <x:v>% من الإيراد</x:v>
      </x:c>
      <x:c r="D67"/>
      <x:c r="E67"/>
      <x:c r="F67"/>
      <x:c r="G67"/>
      <x:c r="H67"/>
      <x:c r="I67"/>
      <x:c r="J67"/>
      <x:c r="K67"/>
      <x:c r="L67"/>
      <x:c r="M67"/>
    </x:row>
    <x:row r="69" ht="30" customHeight="1">
      <x:c r="A69" s="148" t="str">
        <x:v>حقائق المشروع: مساحة الأرض والبناء 500 م²، طابقان 250+250 م²، 6 موظفين × 400 JOD، صيانة 70,000 JOD، بضاعة 60,000 JOD، إجمالي المشروع 500,000 JOD.</x:v>
      </x:c>
      <x:c r="B69" s="148"/>
      <x:c r="C69" s="148"/>
      <x:c r="D69" s="148"/>
      <x:c r="E69" s="148"/>
      <x:c r="F69" s="148"/>
      <x:c r="G69" s="148"/>
      <x:c r="H69" s="148"/>
      <x:c r="I69" s="148"/>
      <x:c r="J69" s="148"/>
      <x:c r="K69" s="148"/>
      <x:c r="L69" s="148"/>
      <x:c r="M69" s="148"/>
    </x:row>
    <x:row r="70" ht="30" customHeight="1">
      <x:c r="A70" s="152" t="str">
        <x:v>الموقع: شارع مسعود بن سعد، حي السهل، وادي السير. جميع محركات الإيراد والتشغيل غير المزودة أعلاه افتراضات تحليلية قابلة للتعديل وليست حقائق مثبتة.</x:v>
      </x:c>
      <x:c r="B70" s="152"/>
      <x:c r="C70" s="152"/>
      <x:c r="D70" s="152"/>
      <x:c r="E70" s="152"/>
      <x:c r="F70" s="152"/>
      <x:c r="G70" s="152"/>
      <x:c r="H70" s="152"/>
      <x:c r="I70" s="152"/>
      <x:c r="J70" s="152"/>
      <x:c r="K70" s="152"/>
      <x:c r="L70" s="152"/>
      <x:c r="M70" s="152"/>
    </x:row>
  </x:sheetData>
  <x:mergeCells>
    <x:mergeCell ref="A1:L2"/>
    <x:mergeCell ref="A3:L3"/>
    <x:mergeCell ref="A5:F5"/>
    <x:mergeCell ref="E5:L5"/>
    <x:mergeCell ref="A20:F20"/>
    <x:mergeCell ref="E20:L20"/>
    <x:mergeCell ref="A38:F38"/>
    <x:mergeCell ref="E38:L38"/>
    <x:mergeCell ref="A55:C55"/>
    <x:mergeCell ref="E55:M55"/>
    <x:mergeCell ref="A69:M69"/>
    <x:mergeCell ref="A70:M70"/>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10"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s>
  <x:sheetData>
    <x:row r="1" ht="40" customHeight="1">
      <x:c r="A1" s="107" t="str">
        <x:v>تأجير فساتين الزفاف - العمالة وتكلفة الموظفين</x:v>
      </x:c>
      <x:c r="B1" s="107" t="str">
        <x:v>تأجير فساتين الزفاف - العمالة وتكلفة الموظفين</x:v>
      </x:c>
      <x:c r="C1" s="107" t="str">
        <x:v>تأجير فساتين الزفاف - العمالة وتكلفة الموظفين</x:v>
      </x:c>
      <x:c r="D1" s="107" t="str">
        <x:v>تأجير فساتين الزفاف - العمالة وتكلفة الموظفين</x:v>
      </x:c>
      <x:c r="E1" s="107" t="str">
        <x:v>تأجير فساتين الزفاف - العمالة وتكلفة الموظفين</x:v>
      </x:c>
      <x:c r="F1" s="107" t="str">
        <x:v>تأجير فساتين الزفاف - العمالة وتكلفة الموظفين</x:v>
      </x:c>
      <x:c r="G1" s="107" t="str">
        <x:v>تأجير فساتين الزفاف - العمالة وتكلفة الموظفين</x:v>
      </x:c>
      <x:c r="H1" s="107" t="str">
        <x:v>تأجير فساتين الزفاف - العمالة وتكلفة الموظفين</x:v>
      </x:c>
      <x:c r="I1" s="107" t="str">
        <x:v>تأجير فساتين الزفاف - العمالة وتكلفة الموظفين</x:v>
      </x:c>
      <x:c r="J1" s="107" t="str">
        <x:v>تأجير فساتين الزفاف - العمالة وتكلفة الموظفين</x:v>
      </x:c>
    </x:row>
    <x:row r="2">
      <x:c r="A2"/>
      <x:c r="B2"/>
      <x:c r="C2"/>
      <x:c r="D2"/>
      <x:c r="E2"/>
      <x:c r="F2"/>
      <x:c r="G2"/>
      <x:c r="H2"/>
      <x:c r="I2"/>
      <x:c r="J2"/>
    </x:row>
    <x:row r="3">
      <x:c r="A3" s="119" t="str">
        <x:v>القسم</x:v>
      </x:c>
      <x:c r="B3" s="120" t="str">
        <x:v>المسمى الوظيفي</x:v>
      </x:c>
      <x:c r="C3" s="120" t="str">
        <x:v>العدد</x:v>
      </x:c>
      <x:c r="D3" s="120" t="str">
        <x:v>الراتب الشهري للفرد</x:v>
      </x:c>
      <x:c r="E3" s="120" t="str">
        <x:v>الراتب الشهري الإجمالي</x:v>
      </x:c>
      <x:c r="F3" s="120" t="str">
        <x:v>الراتب السنوي</x:v>
      </x:c>
      <x:c r="G3" s="120" t="str">
        <x:v>ضمان صاحب العمل</x:v>
      </x:c>
      <x:c r="H3" s="120" t="str">
        <x:v>تأمين/مزايا</x:v>
      </x:c>
      <x:c r="I3" s="120" t="str">
        <x:v>إضافي واستبدال</x:v>
      </x:c>
      <x:c r="J3" s="121" t="str">
        <x:v>الكلفة السنوية الكاملة</x:v>
      </x:c>
    </x:row>
    <x:row r="4">
      <x:c r="A4" t="str">
        <x:v>التشغيل</x:v>
      </x:c>
      <x:c r="B4" t="str">
        <x:v>موظفو المبيعات والتجهيز</x:v>
      </x:c>
      <x:c r="C4" s="124" t="n">
        <x:v>6</x:v>
      </x:c>
      <x:c r="D4" s="124" t="n">
        <x:v>400</x:v>
      </x:c>
      <x:c r="E4" s="84" t="n">
        <x:f>C4*D4</x:f>
        <x:v>2400</x:v>
      </x:c>
      <x:c r="F4" s="84" t="n">
        <x:f>E4*12</x:f>
        <x:v>28800</x:v>
      </x:c>
      <x:c r="G4" s="84" t="n">
        <x:f>F4*'General Assumptions'!$B$8</x:f>
        <x:v>4104</x:v>
      </x:c>
      <x:c r="H4" s="84" t="n">
        <x:f>F4*'General Assumptions'!$B$13</x:f>
        <x:v>1296</x:v>
      </x:c>
      <x:c r="I4" s="84" t="n">
        <x:f>F4*'General Assumptions'!$B$14</x:f>
        <x:v>1008.0000000000001</x:v>
      </x:c>
      <x:c r="J4" s="84" t="n">
        <x:f>SUM(F4:I4)</x:f>
        <x:v>35208</x:v>
      </x:c>
    </x:row>
    <x:row r="5">
      <x:c r="A5"/>
      <x:c r="B5"/>
      <x:c r="C5"/>
      <x:c r="D5"/>
      <x:c r="E5"/>
      <x:c r="F5"/>
      <x:c r="G5"/>
      <x:c r="H5"/>
      <x:c r="I5"/>
      <x:c r="J5"/>
    </x:row>
    <x:row r="6">
      <x:c r="A6"/>
      <x:c r="B6"/>
      <x:c r="C6"/>
      <x:c r="D6"/>
      <x:c r="E6"/>
      <x:c r="F6"/>
      <x:c r="G6"/>
      <x:c r="H6"/>
      <x:c r="I6"/>
      <x:c r="J6"/>
    </x:row>
    <x:row r="7">
      <x:c r="A7"/>
      <x:c r="B7"/>
      <x:c r="C7"/>
      <x:c r="D7"/>
      <x:c r="E7"/>
      <x:c r="F7"/>
      <x:c r="G7"/>
      <x:c r="H7"/>
      <x:c r="I7"/>
      <x:c r="J7"/>
    </x:row>
    <x:row r="8">
      <x:c r="A8"/>
      <x:c r="B8"/>
      <x:c r="C8"/>
      <x:c r="D8"/>
      <x:c r="E8"/>
      <x:c r="F8"/>
      <x:c r="G8"/>
      <x:c r="H8"/>
      <x:c r="I8"/>
      <x:c r="J8"/>
    </x:row>
    <x:row r="9">
      <x:c r="A9"/>
      <x:c r="B9"/>
      <x:c r="C9"/>
      <x:c r="D9"/>
      <x:c r="E9"/>
      <x:c r="F9"/>
      <x:c r="G9"/>
      <x:c r="H9"/>
      <x:c r="I9"/>
      <x:c r="J9"/>
    </x:row>
    <x:row r="10">
      <x:c r="A10"/>
      <x:c r="B10"/>
      <x:c r="C10"/>
      <x:c r="D10"/>
      <x:c r="E10"/>
      <x:c r="F10"/>
      <x:c r="G10"/>
      <x:c r="H10"/>
      <x:c r="I10"/>
      <x:c r="J10"/>
    </x:row>
    <x:row r="11">
      <x:c r="A11"/>
      <x:c r="B11"/>
      <x:c r="C11"/>
      <x:c r="D11"/>
      <x:c r="E11"/>
      <x:c r="F11"/>
      <x:c r="G11"/>
      <x:c r="H11"/>
      <x:c r="I11"/>
      <x:c r="J11"/>
    </x:row>
    <x:row r="12">
      <x:c r="A12"/>
      <x:c r="B12"/>
      <x:c r="C12"/>
      <x:c r="D12"/>
      <x:c r="E12"/>
      <x:c r="F12"/>
      <x:c r="G12"/>
      <x:c r="H12"/>
      <x:c r="I12"/>
      <x:c r="J12"/>
    </x:row>
    <x:row r="13">
      <x:c r="A13"/>
      <x:c r="B13"/>
      <x:c r="C13"/>
      <x:c r="D13"/>
      <x:c r="E13"/>
      <x:c r="F13"/>
      <x:c r="G13"/>
      <x:c r="H13"/>
      <x:c r="I13"/>
      <x:c r="J13"/>
    </x:row>
    <x:row r="14">
      <x:c r="A14"/>
      <x:c r="B14"/>
      <x:c r="C14"/>
      <x:c r="D14"/>
      <x:c r="E14"/>
      <x:c r="F14"/>
      <x:c r="G14"/>
      <x:c r="H14"/>
      <x:c r="I14"/>
      <x:c r="J14"/>
    </x:row>
    <x:row r="15">
      <x:c r="A15" s="128" t="str">
        <x:v>إجمالي تكلفة العمالة السنوية</x:v>
      </x:c>
      <x:c r="B15" s="128"/>
      <x:c r="C15" s="128"/>
      <x:c r="D15" s="128"/>
      <x:c r="E15" s="128"/>
      <x:c r="F15" s="128"/>
      <x:c r="G15" s="128"/>
      <x:c r="H15" s="128"/>
      <x:c r="I15" s="128"/>
      <x:c r="J15" s="129" t="n">
        <x:f>SUM(J4:J14)</x:f>
        <x:v>35208</x:v>
      </x:c>
    </x:row>
    <x:row r="16">
      <x:c r="A16"/>
      <x:c r="B16"/>
      <x:c r="C16"/>
      <x:c r="D16"/>
      <x:c r="E16"/>
      <x:c r="F16"/>
      <x:c r="G16"/>
      <x:c r="H16"/>
      <x:c r="I16"/>
      <x:c r="J16"/>
    </x:row>
    <x:row r="17">
      <x:c r="A17"/>
      <x:c r="B17"/>
      <x:c r="C17"/>
      <x:c r="D17"/>
      <x:c r="E17"/>
      <x:c r="F17"/>
      <x:c r="G17"/>
      <x:c r="H17"/>
      <x:c r="I17"/>
      <x:c r="J17"/>
    </x:row>
    <x:row r="18">
      <x:c r="A18"/>
      <x:c r="B18"/>
      <x:c r="C18"/>
      <x:c r="D18"/>
      <x:c r="E18"/>
      <x:c r="F18"/>
      <x:c r="G18"/>
      <x:c r="H18"/>
      <x:c r="I18"/>
      <x:c r="J18"/>
    </x:row>
    <x:row r="19" ht="38" customHeight="1">
      <x:c r="A19" s="46" t="str">
        <x:v>ملاحظة: عدد الموظفين والراتب الأساسي حقائق مزودة. توزيع المسميات، الضمان، التأمين، والاستبدال محركات قابلة للتعديل.</x:v>
      </x:c>
      <x:c r="B19" s="46"/>
      <x:c r="C19" s="46"/>
      <x:c r="D19" s="46"/>
      <x:c r="E19" s="46"/>
      <x:c r="F19" s="46"/>
      <x:c r="G19" s="46"/>
      <x:c r="H19" s="46"/>
      <x:c r="I19" s="46"/>
      <x:c r="J19" s="46"/>
    </x:row>
  </x:sheetData>
  <x:mergeCells>
    <x:mergeCell ref="A1:J1"/>
    <x:mergeCell ref="A15:I15"/>
    <x:mergeCell ref="A19:J19"/>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22" hidden="0" customWidth="1"/>
    <x:col min="4" max="4" width="22" hidden="0" customWidth="1"/>
    <x:col min="5" max="5" width="38" hidden="0" customWidth="1"/>
  </x:cols>
  <x:sheetData>
    <x:row r="1" ht="40" customHeight="1">
      <x:c r="A1" s="107" t="str">
        <x:v>تأجير فساتين الزفاف - الاستثمار الأولي</x:v>
      </x:c>
      <x:c r="B1" s="107" t="str">
        <x:v>تأجير فساتين الزفاف - الاستثمار الأولي</x:v>
      </x:c>
      <x:c r="C1" s="107" t="str">
        <x:v>تأجير فساتين الزفاف - الاستثمار الأولي</x:v>
      </x:c>
      <x:c r="D1" s="107" t="str">
        <x:v>تأجير فساتين الزفاف - الاستثمار الأولي</x:v>
      </x:c>
      <x:c r="E1" s="107" t="str">
        <x:v>تأجير فساتين الزفاف - الاستثمار الأولي</x:v>
      </x:c>
    </x:row>
    <x:row r="2">
      <x:c r="A2"/>
      <x:c r="B2"/>
      <x:c r="C2"/>
      <x:c r="D2"/>
      <x:c r="E2"/>
    </x:row>
    <x:row r="3">
      <x:c r="A3" s="119" t="str">
        <x:v>البند</x:v>
      </x:c>
      <x:c r="B3" s="120" t="str">
        <x:v>القيمة JOD</x:v>
      </x:c>
      <x:c r="C3" s="120" t="str">
        <x:v>% من الإجمالي التشغيلي</x:v>
      </x:c>
      <x:c r="D3" s="120" t="str">
        <x:v>طبيعة البند</x:v>
      </x:c>
      <x:c r="E3" s="121" t="str">
        <x:v>قرار/ملاحظة</x:v>
      </x:c>
    </x:row>
    <x:row r="4" ht="26" customHeight="1">
      <x:c r="A4" s="46" t="str">
        <x:v>صيانة وتجهيز المبنى القائم</x:v>
      </x:c>
      <x:c r="B4" s="132" t="n">
        <x:v>70000</x:v>
      </x:c>
      <x:c r="C4" s="133" t="n">
        <x:f>IFERROR(B4/$B$18,0)</x:f>
        <x:v>0.5384615384615384</x:v>
      </x:c>
      <x:c r="D4" s="46" t="str">
        <x:v>استثماري</x:v>
      </x:c>
      <x:c r="E4" s="46" t="str">
        <x:v>قيمة مزودة</x:v>
      </x:c>
    </x:row>
    <x:row r="5" ht="26" customHeight="1">
      <x:c r="A5" s="46" t="str">
        <x:v>بضاعة فساتين افتتاحية</x:v>
      </x:c>
      <x:c r="B5" s="132" t="n">
        <x:v>60000</x:v>
      </x:c>
      <x:c r="C5" s="133" t="n">
        <x:f>IFERROR(B5/$B$18,0)</x:f>
        <x:v>0.46153846153846156</x:v>
      </x:c>
      <x:c r="D5" s="46" t="str">
        <x:v>مخزون افتتاحي</x:v>
      </x:c>
      <x:c r="E5" s="46" t="str">
        <x:v>قيمة مزودة</x:v>
      </x:c>
    </x:row>
    <x:row r="6" ht="26" customHeight="1">
      <x:c r="A6" s="46" t="str">
        <x:v>دراسات وتصميم</x:v>
      </x:c>
      <x:c r="B6" s="132" t="n">
        <x:v>0</x:v>
      </x:c>
      <x:c r="C6" s="133" t="n">
        <x:f>IFERROR(B6/$B$18,0)</x:f>
        <x:v>0</x:v>
      </x:c>
      <x:c r="D6" s="46" t="str">
        <x:v>ضمن الصيانة</x:v>
      </x:c>
      <x:c r="E6" s="46" t="str">
        <x:v>غير مفصول بالقيمة المزودة</x:v>
      </x:c>
    </x:row>
    <x:row r="7" ht="26" customHeight="1">
      <x:c r="A7" s="46" t="str">
        <x:v>أثاث وعرض وتجهيز غرف القياس</x:v>
      </x:c>
      <x:c r="B7" s="132" t="n">
        <x:v>0</x:v>
      </x:c>
      <x:c r="C7" s="133" t="n">
        <x:f>IFERROR(B7/$B$18,0)</x:f>
        <x:v>0</x:v>
      </x:c>
      <x:c r="D7" s="46" t="str">
        <x:v>ضمن الصيانة</x:v>
      </x:c>
      <x:c r="E7" s="46" t="str">
        <x:v>غير مفصول بالقيمة المزودة</x:v>
      </x:c>
    </x:row>
    <x:row r="8" ht="26" customHeight="1">
      <x:c r="A8" s="46" t="str">
        <x:v>إضاءة وكهرباء وتكييف</x:v>
      </x:c>
      <x:c r="B8" s="132" t="n">
        <x:v>0</x:v>
      </x:c>
      <x:c r="C8" s="133" t="n">
        <x:f>IFERROR(B8/$B$18,0)</x:f>
        <x:v>0</x:v>
      </x:c>
      <x:c r="D8" s="46" t="str">
        <x:v>ضمن الصيانة</x:v>
      </x:c>
      <x:c r="E8" s="46" t="str">
        <x:v>غير مفصول بالقيمة المزودة</x:v>
      </x:c>
    </x:row>
    <x:row r="9" ht="26" customHeight="1">
      <x:c r="A9" s="46" t="str">
        <x:v>أنظمة POS وكاميرات</x:v>
      </x:c>
      <x:c r="B9" s="132" t="n">
        <x:v>0</x:v>
      </x:c>
      <x:c r="C9" s="133" t="n">
        <x:f>IFERROR(B9/$B$18,0)</x:f>
        <x:v>0</x:v>
      </x:c>
      <x:c r="D9" s="46" t="str">
        <x:v>ضمن الصيانة</x:v>
      </x:c>
      <x:c r="E9" s="46" t="str">
        <x:v>غير مفصول بالقيمة المزودة</x:v>
      </x:c>
    </x:row>
    <x:row r="10" ht="26" customHeight="1">
      <x:c r="A10" s="46" t="str">
        <x:v>لوحات وهوية خارجية</x:v>
      </x:c>
      <x:c r="B10" s="132" t="n">
        <x:v>0</x:v>
      </x:c>
      <x:c r="C10" s="133" t="n">
        <x:f>IFERROR(B10/$B$18,0)</x:f>
        <x:v>0</x:v>
      </x:c>
      <x:c r="D10" s="46" t="str">
        <x:v>ضمن الصيانة</x:v>
      </x:c>
      <x:c r="E10" s="46" t="str">
        <x:v>غير مفصول بالقيمة المزودة</x:v>
      </x:c>
    </x:row>
    <x:row r="11" ht="26" customHeight="1">
      <x:c r="A11" s="46" t="str">
        <x:v>تسويق وتوظيف قبل الافتتاح</x:v>
      </x:c>
      <x:c r="B11" s="132" t="n">
        <x:v>0</x:v>
      </x:c>
      <x:c r="C11" s="133" t="n">
        <x:f>IFERROR(B11/$B$18,0)</x:f>
        <x:v>0</x:v>
      </x:c>
      <x:c r="D11" s="46" t="str">
        <x:v>غير مفصول</x:v>
      </x:c>
      <x:c r="E11" s="46" t="str">
        <x:v>يتطلب عرض تكلفة</x:v>
      </x:c>
    </x:row>
    <x:row r="12" ht="26" customHeight="1">
      <x:c r="A12" s="46" t="str">
        <x:v>رأس مال عامل افتتاحي</x:v>
      </x:c>
      <x:c r="B12" s="132" t="n">
        <x:v>0</x:v>
      </x:c>
      <x:c r="C12" s="133" t="n">
        <x:f>IFERROR(B12/$B$18,0)</x:f>
        <x:v>0</x:v>
      </x:c>
      <x:c r="D12" s="46" t="str">
        <x:v>غير مفصول</x:v>
      </x:c>
      <x:c r="E12" s="46" t="str">
        <x:v>يتطلب تثبيت</x:v>
      </x:c>
    </x:row>
    <x:row r="13" ht="26" customHeight="1">
      <x:c r="A13" s="46" t="str">
        <x:v>احتياطي تجاوز تكاليف</x:v>
      </x:c>
      <x:c r="B13" s="132" t="n">
        <x:v>0</x:v>
      </x:c>
      <x:c r="C13" s="133" t="n">
        <x:f>IFERROR(B13/$B$18,0)</x:f>
        <x:v>0</x:v>
      </x:c>
      <x:c r="D13" s="46" t="str">
        <x:v>غير مفصول</x:v>
      </x:c>
      <x:c r="E13" s="46" t="str">
        <x:v>يتطلب تثبيت</x:v>
      </x:c>
    </x:row>
    <x:row r="14" ht="26" customHeight="1">
      <x:c r="A14" s="46" t="str">
        <x:v>مصاريف ترخيص ودفاع مدني</x:v>
      </x:c>
      <x:c r="B14" s="132" t="n">
        <x:v>0</x:v>
      </x:c>
      <x:c r="C14" s="133" t="n">
        <x:f>IFERROR(B14/$B$18,0)</x:f>
        <x:v>0</x:v>
      </x:c>
      <x:c r="D14" s="46" t="str">
        <x:v>غير مفصول</x:v>
      </x:c>
      <x:c r="E14" s="46" t="str">
        <x:v>يتطلب تحقق رسمي</x:v>
      </x:c>
    </x:row>
    <x:row r="15" ht="26" customHeight="1">
      <x:c r="A15" s="46" t="str">
        <x:v>تعديلات مواقف ووصول</x:v>
      </x:c>
      <x:c r="B15" s="132" t="n">
        <x:v>0</x:v>
      </x:c>
      <x:c r="C15" s="133" t="n">
        <x:f>IFERROR(B15/$B$18,0)</x:f>
        <x:v>0</x:v>
      </x:c>
      <x:c r="D15" s="46" t="str">
        <x:v>غير مفصول</x:v>
      </x:c>
      <x:c r="E15" s="46" t="str">
        <x:v>يتطلب كشف موقع</x:v>
      </x:c>
    </x:row>
    <x:row r="16" ht="26" customHeight="1">
      <x:c r="A16" s="46" t="str">
        <x:v>مصاريف افتتاح أخرى</x:v>
      </x:c>
      <x:c r="B16" s="132" t="n">
        <x:v>0</x:v>
      </x:c>
      <x:c r="C16" s="133" t="n">
        <x:f>IFERROR(B16/$B$18,0)</x:f>
        <x:v>0</x:v>
      </x:c>
      <x:c r="D16" s="46" t="str">
        <x:v>غير مفصول</x:v>
      </x:c>
      <x:c r="E16" s="46" t="str">
        <x:v>يتطلب عرض تكلفة</x:v>
      </x:c>
    </x:row>
    <x:row r="17" ht="26" customHeight="1">
      <x:c r="A17" s="46" t="str">
        <x:v>احتياطي غير موزع</x:v>
      </x:c>
      <x:c r="B17" s="132" t="n">
        <x:v>0</x:v>
      </x:c>
      <x:c r="C17" s="133" t="n">
        <x:f>IFERROR(B17/$B$18,0)</x:f>
        <x:v>0</x:v>
      </x:c>
      <x:c r="D17" s="46" t="str">
        <x:v>غير مفصول</x:v>
      </x:c>
      <x:c r="E17" s="46" t="str">
        <x:v>لا يضاف دون إثبات</x:v>
      </x:c>
    </x:row>
    <x:row r="18">
      <x:c r="A18" s="134" t="str">
        <x:v>الإجمالي التشغيلي دون العقار</x:v>
      </x:c>
      <x:c r="B18" s="135" t="n">
        <x:f>SUM(B4:B17)</x:f>
        <x:v>130000</x:v>
      </x:c>
      <x:c r="C18" s="134"/>
      <x:c r="D18" s="134"/>
      <x:c r="E18" s="134"/>
    </x:row>
    <x:row r="19">
      <x:c r="A19" s="46" t="str">
        <x:v>قيمة الأرض والمبنى الضمنية</x:v>
      </x:c>
      <x:c r="B19" s="132" t="n">
        <x:v>370000</x:v>
      </x:c>
      <x:c r="C19" s="46"/>
      <x:c r="D19" s="46"/>
      <x:c r="E19" s="46"/>
    </x:row>
    <x:row r="20">
      <x:c r="A20" s="136" t="str">
        <x:v>إجمالي رأس المال الاقتصادي</x:v>
      </x:c>
      <x:c r="B20" s="137" t="n">
        <x:f>SUM(B18:B19)</x:f>
        <x:v>500000</x:v>
      </x:c>
      <x:c r="C20" s="136"/>
      <x:c r="D20" s="136"/>
      <x:c r="E20" s="136"/>
    </x:row>
  </x:sheetData>
  <x:mergeCells>
    <x:mergeCell ref="A1:E1"/>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16" hidden="0" customWidth="1"/>
    <x:col min="4" max="4" width="24" hidden="0" customWidth="1"/>
    <x:col min="5" max="5" width="18" hidden="0" customWidth="1"/>
    <x:col min="6" max="6" width="34" hidden="0" customWidth="1"/>
  </x:cols>
  <x:sheetData>
    <x:row r="1" ht="40" customHeight="1">
      <x:c r="A1" s="107" t="str">
        <x:v>تأجير فساتين الزفاف - المصروفات التشغيلية</x:v>
      </x:c>
      <x:c r="B1" s="107" t="str">
        <x:v>تأجير فساتين الزفاف - المصروفات التشغيلية</x:v>
      </x:c>
      <x:c r="C1" s="107" t="str">
        <x:v>تأجير فساتين الزفاف - المصروفات التشغيلية</x:v>
      </x:c>
      <x:c r="D1" s="107" t="str">
        <x:v>تأجير فساتين الزفاف - المصروفات التشغيلية</x:v>
      </x:c>
      <x:c r="E1" s="107" t="str">
        <x:v>تأجير فساتين الزفاف - المصروفات التشغيلية</x:v>
      </x:c>
      <x:c r="F1" s="107" t="str">
        <x:v>تأجير فساتين الزفاف - المصروفات التشغيلية</x:v>
      </x:c>
    </x:row>
    <x:row r="2">
      <x:c r="A2"/>
      <x:c r="B2"/>
      <x:c r="C2"/>
      <x:c r="D2"/>
      <x:c r="E2"/>
      <x:c r="F2"/>
    </x:row>
    <x:row r="3">
      <x:c r="A3" s="119" t="str">
        <x:v>البند</x:v>
      </x:c>
      <x:c r="B3" s="120" t="str">
        <x:v>شهري JOD</x:v>
      </x:c>
      <x:c r="C3" s="120" t="str">
        <x:v>سنوي JOD</x:v>
      </x:c>
      <x:c r="D3" s="120" t="str">
        <x:v>محرك التكلفة</x:v>
      </x:c>
      <x:c r="E3" s="120" t="str">
        <x:v>ثابت/متغير</x:v>
      </x:c>
      <x:c r="F3" s="121" t="str">
        <x:v>ملاحظة</x:v>
      </x:c>
    </x:row>
    <x:row r="4" ht="25" customHeight="1">
      <x:c r="A4" s="46" t="str">
        <x:v>كهرباء ومياه</x:v>
      </x:c>
      <x:c r="B4" s="139" t="n">
        <x:f>C4/12</x:f>
        <x:v>500</x:v>
      </x:c>
      <x:c r="C4" s="132" t="n">
        <x:v>6000</x:v>
      </x:c>
      <x:c r="D4" s="46" t="str">
        <x:v>التضخم/الاستخدام</x:v>
      </x:c>
      <x:c r="E4" s="46" t="str">
        <x:v>شبه ثابت</x:v>
      </x:c>
      <x:c r="F4" s="46" t="str">
        <x:v>افتراض تحليلي قابل للتعديل</x:v>
      </x:c>
    </x:row>
    <x:row r="5" ht="25" customHeight="1">
      <x:c r="A5" s="46" t="str">
        <x:v>صيانة المبنى</x:v>
      </x:c>
      <x:c r="B5" s="139" t="n">
        <x:f>C5/12</x:f>
        <x:v>400</x:v>
      </x:c>
      <x:c r="C5" s="132" t="n">
        <x:v>4800</x:v>
      </x:c>
      <x:c r="D5" s="46" t="str">
        <x:v>التضخم/الاستخدام</x:v>
      </x:c>
      <x:c r="E5" s="46" t="str">
        <x:v>شبه ثابت</x:v>
      </x:c>
      <x:c r="F5" s="46" t="str">
        <x:v>افتراض تحليلي قابل للتعديل</x:v>
      </x:c>
    </x:row>
    <x:row r="6" ht="25" customHeight="1">
      <x:c r="A6" s="46" t="str">
        <x:v>تسويق رقمي ومحتوى</x:v>
      </x:c>
      <x:c r="B6" s="139" t="n">
        <x:f>C6/12</x:f>
        <x:v>1000</x:v>
      </x:c>
      <x:c r="C6" s="132" t="n">
        <x:v>12000</x:v>
      </x:c>
      <x:c r="D6" s="46" t="str">
        <x:v>التضخم/الاستخدام</x:v>
      </x:c>
      <x:c r="E6" s="46" t="str">
        <x:v>شبه ثابت</x:v>
      </x:c>
      <x:c r="F6" s="46" t="str">
        <x:v>افتراض تحليلي قابل للتعديل</x:v>
      </x:c>
    </x:row>
    <x:row r="7" ht="25" customHeight="1">
      <x:c r="A7" s="46" t="str">
        <x:v>تأمين</x:v>
      </x:c>
      <x:c r="B7" s="139" t="n">
        <x:f>C7/12</x:f>
        <x:v>200</x:v>
      </x:c>
      <x:c r="C7" s="132" t="n">
        <x:v>2400</x:v>
      </x:c>
      <x:c r="D7" s="46" t="str">
        <x:v>التضخم/الاستخدام</x:v>
      </x:c>
      <x:c r="E7" s="46" t="str">
        <x:v>شبه ثابت</x:v>
      </x:c>
      <x:c r="F7" s="46" t="str">
        <x:v>افتراض تحليلي قابل للتعديل</x:v>
      </x:c>
    </x:row>
    <x:row r="8" ht="25" customHeight="1">
      <x:c r="A8" s="46" t="str">
        <x:v>نظافة ومستهلكات</x:v>
      </x:c>
      <x:c r="B8" s="139" t="n">
        <x:f>C8/12</x:f>
        <x:v>300</x:v>
      </x:c>
      <x:c r="C8" s="132" t="n">
        <x:v>3600</x:v>
      </x:c>
      <x:c r="D8" s="46" t="str">
        <x:v>التضخم/الاستخدام</x:v>
      </x:c>
      <x:c r="E8" s="46" t="str">
        <x:v>شبه ثابت</x:v>
      </x:c>
      <x:c r="F8" s="46" t="str">
        <x:v>افتراض تحليلي قابل للتعديل</x:v>
      </x:c>
    </x:row>
    <x:row r="9" ht="25" customHeight="1">
      <x:c r="A9" s="46" t="str">
        <x:v>إنترنت وأنظمة</x:v>
      </x:c>
      <x:c r="B9" s="139" t="n">
        <x:f>C9/12</x:f>
        <x:v>150</x:v>
      </x:c>
      <x:c r="C9" s="132" t="n">
        <x:v>1800</x:v>
      </x:c>
      <x:c r="D9" s="46" t="str">
        <x:v>التضخم/الاستخدام</x:v>
      </x:c>
      <x:c r="E9" s="46" t="str">
        <x:v>شبه ثابت</x:v>
      </x:c>
      <x:c r="F9" s="46" t="str">
        <x:v>افتراض تحليلي قابل للتعديل</x:v>
      </x:c>
    </x:row>
    <x:row r="10" ht="25" customHeight="1">
      <x:c r="A10" s="46" t="str">
        <x:v>رسوم وتجديدات ومهنية</x:v>
      </x:c>
      <x:c r="B10" s="139" t="n">
        <x:f>C10/12</x:f>
        <x:v>125</x:v>
      </x:c>
      <x:c r="C10" s="132" t="n">
        <x:v>1500</x:v>
      </x:c>
      <x:c r="D10" s="46" t="str">
        <x:v>التضخم/الاستخدام</x:v>
      </x:c>
      <x:c r="E10" s="46" t="str">
        <x:v>شبه ثابت</x:v>
      </x:c>
      <x:c r="F10" s="46" t="str">
        <x:v>افتراض تحليلي قابل للتعديل</x:v>
      </x:c>
    </x:row>
    <x:row r="11" ht="25" customHeight="1">
      <x:c r="A11" s="46" t="str">
        <x:v>أمن ومراقبة</x:v>
      </x:c>
      <x:c r="B11" s="139" t="n">
        <x:f>C11/12</x:f>
        <x:v>200</x:v>
      </x:c>
      <x:c r="C11" s="132" t="n">
        <x:v>2400</x:v>
      </x:c>
      <x:c r="D11" s="46" t="str">
        <x:v>التضخم/الاستخدام</x:v>
      </x:c>
      <x:c r="E11" s="46" t="str">
        <x:v>شبه ثابت</x:v>
      </x:c>
      <x:c r="F11" s="46" t="str">
        <x:v>افتراض تحليلي قابل للتعديل</x:v>
      </x:c>
    </x:row>
    <x:row r="12" ht="25" customHeight="1">
      <x:c r="A12" s="46" t="str">
        <x:v>نقل ومشتريات</x:v>
      </x:c>
      <x:c r="B12" s="139" t="n">
        <x:f>C12/12</x:f>
        <x:v>200</x:v>
      </x:c>
      <x:c r="C12" s="132" t="n">
        <x:v>2400</x:v>
      </x:c>
      <x:c r="D12" s="46" t="str">
        <x:v>التضخم/الاستخدام</x:v>
      </x:c>
      <x:c r="E12" s="46" t="str">
        <x:v>شبه ثابت</x:v>
      </x:c>
      <x:c r="F12" s="46" t="str">
        <x:v>افتراض تحليلي قابل للتعديل</x:v>
      </x:c>
    </x:row>
    <x:row r="13" ht="25" customHeight="1">
      <x:c r="A13" s="46" t="str">
        <x:v>مصروفات إدارية وبنكية</x:v>
      </x:c>
      <x:c r="B13" s="139" t="n">
        <x:f>C13/12</x:f>
        <x:v>200</x:v>
      </x:c>
      <x:c r="C13" s="132" t="n">
        <x:v>2400</x:v>
      </x:c>
      <x:c r="D13" s="46" t="str">
        <x:v>التضخم/الاستخدام</x:v>
      </x:c>
      <x:c r="E13" s="46" t="str">
        <x:v>شبه ثابت</x:v>
      </x:c>
      <x:c r="F13" s="46" t="str">
        <x:v>افتراض تحليلي قابل للتعديل</x:v>
      </x:c>
    </x:row>
    <x:row r="14" ht="25" customHeight="1">
      <x:c r="A14" s="46" t="str">
        <x:v>احتياطي تشغيلي</x:v>
      </x:c>
      <x:c r="B14" s="139" t="n">
        <x:f>C14/12</x:f>
        <x:v>300</x:v>
      </x:c>
      <x:c r="C14" s="132" t="n">
        <x:v>3600</x:v>
      </x:c>
      <x:c r="D14" s="46" t="str">
        <x:v>التضخم/الاستخدام</x:v>
      </x:c>
      <x:c r="E14" s="46" t="str">
        <x:v>شبه ثابت</x:v>
      </x:c>
      <x:c r="F14" s="46" t="str">
        <x:v>افتراض تحليلي قابل للتعديل</x:v>
      </x:c>
    </x:row>
    <x:row r="15">
      <x:c r="A15" s="134" t="str">
        <x:v>إجمالي غير العمالة</x:v>
      </x:c>
      <x:c r="B15" s="134"/>
      <x:c r="C15" s="135" t="n">
        <x:f>SUM(C4:C14)</x:f>
        <x:v>42900</x:v>
      </x:c>
      <x:c r="D15" s="134"/>
      <x:c r="E15" s="134"/>
      <x:c r="F15" s="134"/>
    </x:row>
    <x:row r="16">
      <x:c r="A16" s="46" t="str">
        <x:v>إجمالي العمالة</x:v>
      </x:c>
      <x:c r="B16" s="46"/>
      <x:c r="C16" s="140" t="n">
        <x:f>'Dress - Payroll'!J15</x:f>
        <x:v>35208</x:v>
      </x:c>
      <x:c r="D16" s="46"/>
      <x:c r="E16" s="46"/>
      <x:c r="F16" s="46"/>
    </x:row>
    <x:row r="17">
      <x:c r="A17" s="141" t="str">
        <x:v>إجمالي التشغيل قبل تكلفة الخدمة</x:v>
      </x:c>
      <x:c r="B17" s="141"/>
      <x:c r="C17" s="142" t="n">
        <x:f>SUM(C15:C16)</x:f>
        <x:v>78108</x:v>
      </x:c>
      <x:c r="D17" s="141"/>
      <x:c r="E17" s="141"/>
      <x:c r="F17" s="141"/>
    </x:row>
  </x:sheetData>
  <x:mergeCells>
    <x:mergeCell ref="A1:F1"/>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28"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3" hidden="0" customWidth="1"/>
  </x:cols>
  <x:sheetData>
    <x:row r="1" ht="40" customHeight="1">
      <x:c r="A1" s="107" t="str">
        <x:v>تأجير فساتين الزفاف - نموذج مالي لعشر سنوات</x:v>
      </x:c>
      <x:c r="B1" s="107" t="str">
        <x:v>تأجير فساتين الزفاف - نموذج مالي لعشر سنوات</x:v>
      </x:c>
      <x:c r="C1" s="107" t="str">
        <x:v>تأجير فساتين الزفاف - نموذج مالي لعشر سنوات</x:v>
      </x:c>
      <x:c r="D1" s="107" t="str">
        <x:v>تأجير فساتين الزفاف - نموذج مالي لعشر سنوات</x:v>
      </x:c>
      <x:c r="E1" s="107" t="str">
        <x:v>تأجير فساتين الزفاف - نموذج مالي لعشر سنوات</x:v>
      </x:c>
      <x:c r="F1" s="107" t="str">
        <x:v>تأجير فساتين الزفاف - نموذج مالي لعشر سنوات</x:v>
      </x:c>
      <x:c r="G1" s="107" t="str">
        <x:v>تأجير فساتين الزفاف - نموذج مالي لعشر سنوات</x:v>
      </x:c>
      <x:c r="H1" s="107" t="str">
        <x:v>تأجير فساتين الزفاف - نموذج مالي لعشر سنوات</x:v>
      </x:c>
      <x:c r="I1" s="107" t="str">
        <x:v>تأجير فساتين الزفاف - نموذج مالي لعشر سنوات</x:v>
      </x:c>
      <x:c r="J1" s="107" t="str">
        <x:v>تأجير فساتين الزفاف - نموذج مالي لعشر سنوات</x:v>
      </x:c>
      <x:c r="K1" s="107" t="str">
        <x:v>تأجير فساتين الزفاف - نموذج مالي لعشر سنوات</x:v>
      </x:c>
      <x:c r="L1" s="107" t="str">
        <x:v>تأجير فساتين الزفاف - نموذج مالي لعشر سنوات</x:v>
      </x:c>
    </x:row>
    <x:row r="2">
      <x:c r="A2"/>
      <x:c r="B2"/>
      <x:c r="C2"/>
      <x:c r="D2"/>
      <x:c r="E2"/>
      <x:c r="F2"/>
      <x:c r="G2"/>
      <x:c r="H2"/>
      <x:c r="I2"/>
      <x:c r="J2"/>
      <x:c r="K2"/>
      <x:c r="L2"/>
    </x:row>
    <x:row r="3">
      <x:c r="A3" t="str">
        <x:v>المؤشر</x:v>
      </x:c>
      <x:c r="B3" t="str">
        <x:v>سنة 1</x:v>
      </x:c>
      <x:c r="C3" t="str">
        <x:v>سنة 2</x:v>
      </x:c>
      <x:c r="D3" t="str">
        <x:v>سنة 3</x:v>
      </x:c>
      <x:c r="E3" t="str">
        <x:v>سنة 4</x:v>
      </x:c>
      <x:c r="F3" t="str">
        <x:v>سنة 5</x:v>
      </x:c>
      <x:c r="G3" t="str">
        <x:v>سنة 6</x:v>
      </x:c>
      <x:c r="H3" t="str">
        <x:v>سنة 7</x:v>
      </x:c>
      <x:c r="I3" t="str">
        <x:v>سنة 8</x:v>
      </x:c>
      <x:c r="J3" t="str">
        <x:v>سنة 9</x:v>
      </x:c>
      <x:c r="K3" t="str">
        <x:v>سنة 10</x:v>
      </x:c>
      <x:c r="L3"/>
    </x:row>
    <x:row r="4">
      <x:c r="A4" t="str">
        <x:v>الإيرادات</x:v>
      </x:c>
      <x:c r="B4" s="24" t="n">
        <x:f>'Dynamic Inputs'!$B$57*'Dynamic Inputs'!$B$58*'Dynamic Inputs'!$B$59*(1-'Dynamic Inputs'!$B$60)+'Dynamic Inputs'!$B$61</x:f>
        <x:v>148800</x:v>
      </x:c>
      <x:c r="C4" s="24" t="n">
        <x:f>B4*(1+'Dynamic Inputs'!$E$57)</x:f>
        <x:v>163680</x:v>
      </x:c>
      <x:c r="D4" s="24" t="n">
        <x:f>C4*(1+'Dynamic Inputs'!$F$57)</x:f>
        <x:v>176774.40000000002</x:v>
      </x:c>
      <x:c r="E4" s="24" t="n">
        <x:f>D4*(1+'Dynamic Inputs'!$G$57)</x:f>
        <x:v>189148.60800000004</x:v>
      </x:c>
      <x:c r="F4" s="24" t="n">
        <x:f>E4*(1+'Dynamic Inputs'!$H$57)</x:f>
        <x:v>200497.52448000005</x:v>
      </x:c>
      <x:c r="G4" s="24" t="n">
        <x:f>F4*(1+'Dynamic Inputs'!$I$57)</x:f>
        <x:v>210522.40070400006</x:v>
      </x:c>
      <x:c r="H4" s="24" t="n">
        <x:f>G4*(1+'Dynamic Inputs'!$J$57)</x:f>
        <x:v>218943.29673216006</x:v>
      </x:c>
      <x:c r="I4" s="24" t="n">
        <x:f>H4*(1+'Dynamic Inputs'!$K$57)</x:f>
        <x:v>227701.02860144648</x:v>
      </x:c>
      <x:c r="J4" s="24" t="n">
        <x:f>I4*(1+'Dynamic Inputs'!$L$57)</x:f>
        <x:v>234532.0594594899</x:v>
      </x:c>
      <x:c r="K4" s="24" t="n">
        <x:f>J4*(1+'Dynamic Inputs'!$M$57)</x:f>
        <x:v>241568.0212432746</x:v>
      </x:c>
      <x:c r="L4"/>
    </x:row>
    <x:row r="5">
      <x:c r="A5" t="str">
        <x:v>تكلفة المواد/الخدمة</x:v>
      </x:c>
      <x:c r="B5" s="24" t="n">
        <x:f>B4*'Dynamic Inputs'!$B$62</x:f>
        <x:v>26784</x:v>
      </x:c>
      <x:c r="C5" s="24" t="n">
        <x:f>C4*'Dynamic Inputs'!$B$62</x:f>
        <x:v>29462.399999999998</x:v>
      </x:c>
      <x:c r="D5" s="24" t="n">
        <x:f>D4*'Dynamic Inputs'!$B$62</x:f>
        <x:v>31819.392000000003</x:v>
      </x:c>
      <x:c r="E5" s="24" t="n">
        <x:f>E4*'Dynamic Inputs'!$B$62</x:f>
        <x:v>34046.74944000001</x:v>
      </x:c>
      <x:c r="F5" s="24" t="n">
        <x:f>F4*'Dynamic Inputs'!$B$62</x:f>
        <x:v>36089.554406400006</x:v>
      </x:c>
      <x:c r="G5" s="24" t="n">
        <x:f>G4*'Dynamic Inputs'!$B$62</x:f>
        <x:v>37894.03212672001</x:v>
      </x:c>
      <x:c r="H5" s="24" t="n">
        <x:f>H4*'Dynamic Inputs'!$B$62</x:f>
        <x:v>39409.79341178881</x:v>
      </x:c>
      <x:c r="I5" s="24" t="n">
        <x:f>I4*'Dynamic Inputs'!$B$62</x:f>
        <x:v>40986.18514826037</x:v>
      </x:c>
      <x:c r="J5" s="24" t="n">
        <x:f>J4*'Dynamic Inputs'!$B$62</x:f>
        <x:v>42215.77070270818</x:v>
      </x:c>
      <x:c r="K5" s="24" t="n">
        <x:f>K4*'Dynamic Inputs'!$B$62</x:f>
        <x:v>43482.243823789424</x:v>
      </x:c>
      <x:c r="L5"/>
    </x:row>
    <x:row r="6">
      <x:c r="A6" t="str">
        <x:v>مجمل الربح</x:v>
      </x:c>
      <x:c r="B6" s="24" t="n">
        <x:f>B4-B5</x:f>
        <x:v>122016</x:v>
      </x:c>
      <x:c r="C6" s="24" t="n">
        <x:f>C4-C5</x:f>
        <x:v>134217.6</x:v>
      </x:c>
      <x:c r="D6" s="24" t="n">
        <x:f>D4-D5</x:f>
        <x:v>144955.00800000003</x:v>
      </x:c>
      <x:c r="E6" s="24" t="n">
        <x:f>E4-E5</x:f>
        <x:v>155101.85856000002</x:v>
      </x:c>
      <x:c r="F6" s="24" t="n">
        <x:f>F4-F5</x:f>
        <x:v>164407.97007360004</x:v>
      </x:c>
      <x:c r="G6" s="24" t="n">
        <x:f>G4-G5</x:f>
        <x:v>172628.36857728005</x:v>
      </x:c>
      <x:c r="H6" s="24" t="n">
        <x:f>H4-H5</x:f>
        <x:v>179533.50332037127</x:v>
      </x:c>
      <x:c r="I6" s="24" t="n">
        <x:f>I4-I5</x:f>
        <x:v>186714.8434531861</x:v>
      </x:c>
      <x:c r="J6" s="24" t="n">
        <x:f>J4-J5</x:f>
        <x:v>192316.28875678172</x:v>
      </x:c>
      <x:c r="K6" s="24" t="n">
        <x:f>K4-K5</x:f>
        <x:v>198085.77741948515</x:v>
      </x:c>
      <x:c r="L6"/>
    </x:row>
    <x:row r="7">
      <x:c r="A7" t="str">
        <x:v>تكلفة العمالة</x:v>
      </x:c>
      <x:c r="B7" s="24" t="n">
        <x:f>'Dress - Payroll'!J15</x:f>
        <x:v>35208</x:v>
      </x:c>
      <x:c r="C7" s="24" t="n">
        <x:f>B7*(1+'General Assumptions'!$B$9)</x:f>
        <x:v>36616.32</x:v>
      </x:c>
      <x:c r="D7" s="24" t="n">
        <x:f>C7*(1+'General Assumptions'!$B$9)</x:f>
        <x:v>38080.9728</x:v>
      </x:c>
      <x:c r="E7" s="24" t="n">
        <x:f>D7*(1+'General Assumptions'!$B$9)</x:f>
        <x:v>39604.211712000004</x:v>
      </x:c>
      <x:c r="F7" s="24" t="n">
        <x:f>E7*(1+'General Assumptions'!$B$9)</x:f>
        <x:v>41188.38018048</x:v>
      </x:c>
      <x:c r="G7" s="24" t="n">
        <x:f>F7*(1+'General Assumptions'!$B$9)</x:f>
        <x:v>42835.915387699206</x:v>
      </x:c>
      <x:c r="H7" s="24" t="n">
        <x:f>G7*(1+'General Assumptions'!$B$9)</x:f>
        <x:v>44549.352003207176</x:v>
      </x:c>
      <x:c r="I7" s="24" t="n">
        <x:f>H7*(1+'General Assumptions'!$B$9)</x:f>
        <x:v>46331.326083335465</x:v>
      </x:c>
      <x:c r="J7" s="24" t="n">
        <x:f>I7*(1+'General Assumptions'!$B$9)</x:f>
        <x:v>48184.57912666888</x:v>
      </x:c>
      <x:c r="K7" s="24" t="n">
        <x:f>J7*(1+'General Assumptions'!$B$9)</x:f>
        <x:v>50111.96229173564</x:v>
      </x:c>
      <x:c r="L7"/>
    </x:row>
    <x:row r="8">
      <x:c r="A8" t="str">
        <x:v>OPEX غير العمالة</x:v>
      </x:c>
      <x:c r="B8" s="24" t="n">
        <x:f>'Dress - OPEX'!C15</x:f>
        <x:v>42900</x:v>
      </x:c>
      <x:c r="C8" s="24" t="n">
        <x:f>B8*(1+'General Assumptions'!$B$10)</x:f>
        <x:v>44187</x:v>
      </x:c>
      <x:c r="D8" s="24" t="n">
        <x:f>C8*(1+'General Assumptions'!$B$10)</x:f>
        <x:v>45512.61</x:v>
      </x:c>
      <x:c r="E8" s="24" t="n">
        <x:f>D8*(1+'General Assumptions'!$B$10)</x:f>
        <x:v>46877.988300000005</x:v>
      </x:c>
      <x:c r="F8" s="24" t="n">
        <x:f>E8*(1+'General Assumptions'!$B$10)</x:f>
        <x:v>48284.327949000006</x:v>
      </x:c>
      <x:c r="G8" s="24" t="n">
        <x:f>F8*(1+'General Assumptions'!$B$10)</x:f>
        <x:v>49732.857787470006</x:v>
      </x:c>
      <x:c r="H8" s="24" t="n">
        <x:f>G8*(1+'General Assumptions'!$B$10)</x:f>
        <x:v>51224.84352109411</x:v>
      </x:c>
      <x:c r="I8" s="24" t="n">
        <x:f>H8*(1+'General Assumptions'!$B$10)</x:f>
        <x:v>52761.58882672693</x:v>
      </x:c>
      <x:c r="J8" s="24" t="n">
        <x:f>I8*(1+'General Assumptions'!$B$10)</x:f>
        <x:v>54344.436491528744</x:v>
      </x:c>
      <x:c r="K8" s="24" t="n">
        <x:f>J8*(1+'General Assumptions'!$B$10)</x:f>
        <x:v>55974.76958627461</x:v>
      </x:c>
      <x:c r="L8"/>
    </x:row>
    <x:row r="9">
      <x:c r="A9" t="str">
        <x:v>EBITDA</x:v>
      </x:c>
      <x:c r="B9" s="24" t="n">
        <x:f>B6-B7-B8</x:f>
        <x:v>43908</x:v>
      </x:c>
      <x:c r="C9" s="24" t="n">
        <x:f>C6-C7-C8</x:f>
        <x:v>53414.28</x:v>
      </x:c>
      <x:c r="D9" s="24" t="n">
        <x:f>D6-D7-D8</x:f>
        <x:v>61361.42520000003</x:v>
      </x:c>
      <x:c r="E9" s="24" t="n">
        <x:f>E6-E7-E8</x:f>
        <x:v>68619.658548</x:v>
      </x:c>
      <x:c r="F9" s="24" t="n">
        <x:f>F6-F7-F8</x:f>
        <x:v>74935.26194412002</x:v>
      </x:c>
      <x:c r="G9" s="24" t="n">
        <x:f>G6-G7-G8</x:f>
        <x:v>80059.59540211083</x:v>
      </x:c>
      <x:c r="H9" s="24" t="n">
        <x:f>H6-H7-H8</x:f>
        <x:v>83759.30779606999</x:v>
      </x:c>
      <x:c r="I9" s="24" t="n">
        <x:f>I6-I7-I8</x:f>
        <x:v>87621.9285431237</x:v>
      </x:c>
      <x:c r="J9" s="24" t="n">
        <x:f>J6-J7-J8</x:f>
        <x:v>89787.27313858409</x:v>
      </x:c>
      <x:c r="K9" s="24" t="n">
        <x:f>K6-K7-K8</x:f>
        <x:v>91999.04554147492</x:v>
      </x:c>
      <x:c r="L9"/>
    </x:row>
    <x:row r="10">
      <x:c r="A10" t="str">
        <x:v>هامش EBITDA</x:v>
      </x:c>
      <x:c r="B10" s="26" t="n">
        <x:f>IFERROR(B9/B4,0)</x:f>
        <x:v>0.29508064516129034</x:v>
      </x:c>
      <x:c r="C10" s="26" t="n">
        <x:f>IFERROR(C9/C4,0)</x:f>
        <x:v>0.32633357771260996</x:v>
      </x:c>
      <x:c r="D10" s="26" t="n">
        <x:f>IFERROR(D9/D4,0)</x:f>
        <x:v>0.3471171459215815</x:v>
      </x:c>
      <x:c r="E10" s="26" t="n">
        <x:f>IFERROR(E9/E4,0)</x:f>
        <x:v>0.36278172635560707</x:v>
      </x:c>
      <x:c r="F10" s="26" t="n">
        <x:f>IFERROR(F9/F4,0)</x:f>
        <x:v>0.3737465693826805</x:v>
      </x:c>
      <x:c r="G10" s="26" t="n">
        <x:f>IFERROR(G9/G4,0)</x:f>
        <x:v>0.3802901502851314</x:v>
      </x:c>
      <x:c r="H10" s="26" t="n">
        <x:f>IFERROR(H9/H4,0)</x:f>
        <x:v>0.38256164516667196</x:v>
      </x:c>
      <x:c r="I10" s="26" t="n">
        <x:f>IFERROR(I9/I4,0)</x:f>
        <x:v>0.3848112987512744</x:v>
      </x:c>
      <x:c r="J10" s="26" t="n">
        <x:f>IFERROR(J9/J4,0)</x:f>
        <x:v>0.3828358193140448</x:v>
      </x:c>
      <x:c r="K10" s="26" t="n">
        <x:f>IFERROR(K9/K4,0)</x:f>
        <x:v>0.38084116046480315</x:v>
      </x:c>
      <x:c r="L10"/>
    </x:row>
    <x:row r="11">
      <x:c r="A11" t="str">
        <x:v>الاستهلاك</x:v>
      </x:c>
      <x:c r="B11" s="24" t="n">
        <x:f>'Dress - CAPEX'!$B$4/10+'Dress - CAPEX'!$B$5/3</x:f>
        <x:v>27000</x:v>
      </x:c>
      <x:c r="C11" s="24" t="n">
        <x:f>'Dress - CAPEX'!$B$4/10+'Dress - CAPEX'!$B$5/3</x:f>
        <x:v>27000</x:v>
      </x:c>
      <x:c r="D11" s="24" t="n">
        <x:f>'Dress - CAPEX'!$B$4/10+'Dress - CAPEX'!$B$5/3</x:f>
        <x:v>27000</x:v>
      </x:c>
      <x:c r="E11" s="24" t="n">
        <x:f>'Dress - CAPEX'!$B$4/10+'Dress - CAPEX'!$B$5/3</x:f>
        <x:v>27000</x:v>
      </x:c>
      <x:c r="F11" s="24" t="n">
        <x:f>'Dress - CAPEX'!$B$4/10+'Dress - CAPEX'!$B$5/3</x:f>
        <x:v>27000</x:v>
      </x:c>
      <x:c r="G11" s="24" t="n">
        <x:f>'Dress - CAPEX'!$B$4/10+'Dress - CAPEX'!$B$5/3</x:f>
        <x:v>27000</x:v>
      </x:c>
      <x:c r="H11" s="24" t="n">
        <x:f>'Dress - CAPEX'!$B$4/10+'Dress - CAPEX'!$B$5/3</x:f>
        <x:v>27000</x:v>
      </x:c>
      <x:c r="I11" s="24" t="n">
        <x:f>'Dress - CAPEX'!$B$4/10+'Dress - CAPEX'!$B$5/3</x:f>
        <x:v>27000</x:v>
      </x:c>
      <x:c r="J11" s="24" t="n">
        <x:f>'Dress - CAPEX'!$B$4/10+'Dress - CAPEX'!$B$5/3</x:f>
        <x:v>27000</x:v>
      </x:c>
      <x:c r="K11" s="24" t="n">
        <x:f>'Dress - CAPEX'!$B$4/10+'Dress - CAPEX'!$B$5/3</x:f>
        <x:v>27000</x:v>
      </x:c>
      <x:c r="L11"/>
    </x:row>
    <x:row r="12">
      <x:c r="A12" t="str">
        <x:v>صافي الربح</x:v>
      </x:c>
      <x:c r="B12" s="24" t="n">
        <x:f>B9-B11-B44-B45</x:f>
        <x:v>10250.4</x:v>
      </x:c>
      <x:c r="C12" s="24" t="n">
        <x:f>C9-C11-C44-C45</x:f>
        <x:v>18323.424</x:v>
      </x:c>
      <x:c r="D12" s="24" t="n">
        <x:f>D9-D11-D44-D45</x:f>
        <x:v>25149.14016000002</x:v>
      </x:c>
      <x:c r="E12" s="24" t="n">
        <x:f>E9-E11-E44-E45</x:f>
        <x:v>31423.726838400005</x:v>
      </x:c>
      <x:c r="F12" s="24" t="n">
        <x:f>F9-F11-F44-F45</x:f>
        <x:v>36944.209555296016</x:v>
      </x:c>
      <x:c r="G12" s="24" t="n">
        <x:f>G9-G11-G44-G45</x:f>
        <x:v>41511.67632168867</x:v>
      </x:c>
      <x:c r="H12" s="24" t="n">
        <x:f>H9-H11-H44-H45</x:f>
        <x:v>44939.44623685599</x:v>
      </x:c>
      <x:c r="I12" s="24" t="n">
        <x:f>I9-I11-I44-I45</x:f>
        <x:v>48497.542834498956</x:v>
      </x:c>
      <x:c r="J12" s="24" t="n">
        <x:f>J9-J11-J44-J45</x:f>
        <x:v>50229.81851086727</x:v>
      </x:c>
      <x:c r="K12" s="24" t="n">
        <x:f>K9-K11-K44-K45</x:f>
        <x:v>51999.23643317993</x:v>
      </x:c>
      <x:c r="L12"/>
    </x:row>
    <x:row r="13">
      <x:c r="A13" t="str">
        <x:v>التدفق النقدي الحر</x:v>
      </x:c>
      <x:c r="B13" s="24" t="n">
        <x:f>B49</x:f>
        <x:v>22622.4</x:v>
      </x:c>
      <x:c r="C13" s="24" t="n">
        <x:f>C49</x:f>
        <x:v>40941.024</x:v>
      </x:c>
      <x:c r="D13" s="24" t="n">
        <x:f>D49</x:f>
        <x:v>47441.58816000002</x:v>
      </x:c>
      <x:c r="E13" s="24" t="n">
        <x:f>E49</x:f>
        <x:v>53305.790198400005</x:v>
      </x:c>
      <x:c r="F13" s="24" t="n">
        <x:f>F49</x:f>
        <x:v>58440.296236896014</x:v>
      </x:c>
      <x:c r="G13" s="24" t="n">
        <x:f>G49</x:f>
        <x:v>62645.68622376866</x:v>
      </x:c>
      <x:c r="H13" s="24" t="n">
        <x:f>H49</x:f>
        <x:v>65733.7745546032</x:v>
      </x:c>
      <x:c r="I13" s="24" t="n">
        <x:f>I49</x:f>
        <x:v>68796.92428495604</x:v>
      </x:c>
      <x:c r="J13" s="24" t="n">
        <x:f>J49</x:f>
        <x:v>70683.3360422238</x:v>
      </x:c>
      <x:c r="K13" s="24" t="n">
        <x:f>K49</x:f>
        <x:v>72436.35949047716</x:v>
      </x:c>
      <x:c r="L13"/>
    </x:row>
    <x:row r="14">
      <x:c r="A14" t="str">
        <x:v>DSCR</x:v>
      </x:c>
      <x:c r="B14" s="153" t="n">
        <x:f>IF(1&lt;='Dynamic Inputs'!$B$64,IFERROR((B9-B45)/(('Dress - CAPEX'!$B$18*'Dynamic Inputs'!$B$63)*'General Assumptions'!$B$6/(1-(1+'General Assumptions'!$B$6)^(-'Dynamic Inputs'!$B$64))),0),0)</x:f>
        <x:v>4.5733944647753635</x:v>
      </x:c>
      <x:c r="C14" s="153" t="n">
        <x:f>IF(2&lt;='Dynamic Inputs'!$B$64,IFERROR((C9-C45)/(('Dress - CAPEX'!$B$18*'Dynamic Inputs'!$B$63)*'General Assumptions'!$B$6/(1-(1+'General Assumptions'!$B$6)^(-'Dynamic Inputs'!$B$64))),0),0)</x:f>
        <x:v>5.401677357520507</x:v>
      </x:c>
      <x:c r="D14" s="153" t="n">
        <x:f>IF(3&lt;='Dynamic Inputs'!$B$64,IFERROR((D9-D45)/(('Dress - CAPEX'!$B$18*'Dynamic Inputs'!$B$63)*'General Assumptions'!$B$6/(1-(1+'General Assumptions'!$B$6)^(-'Dynamic Inputs'!$B$64))),0),0)</x:f>
        <x:v>6.091990106759316</x:v>
      </x:c>
      <x:c r="E14" s="153" t="n">
        <x:f>IF(4&lt;='Dynamic Inputs'!$B$64,IFERROR((E9-E45)/(('Dress - CAPEX'!$B$18*'Dynamic Inputs'!$B$63)*'General Assumptions'!$B$6/(1-(1+'General Assumptions'!$B$6)^(-'Dynamic Inputs'!$B$64))),0),0)</x:f>
        <x:v>6.721340027714347</x:v>
      </x:c>
      <x:c r="F14" s="153" t="n">
        <x:f>IF(5&lt;='Dynamic Inputs'!$B$64,IFERROR((F9-F45)/(('Dress - CAPEX'!$B$18*'Dynamic Inputs'!$B$63)*'General Assumptions'!$B$6/(1-(1+'General Assumptions'!$B$6)^(-'Dynamic Inputs'!$B$64))),0),0)</x:f>
        <x:v>7.267275230625595</x:v>
      </x:c>
      <x:c r="G14" s="153" t="n">
        <x:f>IF(6&lt;='Dynamic Inputs'!$B$64,IFERROR((G9-G45)/(('Dress - CAPEX'!$B$18*'Dynamic Inputs'!$B$63)*'General Assumptions'!$B$6/(1-(1+'General Assumptions'!$B$6)^(-'Dynamic Inputs'!$B$64))),0),0)</x:f>
        <x:v>7.707793195515811</x:v>
      </x:c>
      <x:c r="H14" s="153" t="n">
        <x:f>IF(7&lt;='Dynamic Inputs'!$B$64,IFERROR((H9-H45)/(('Dress - CAPEX'!$B$18*'Dynamic Inputs'!$B$63)*'General Assumptions'!$B$6/(1-(1+'General Assumptions'!$B$6)^(-'Dynamic Inputs'!$B$64))),0),0)</x:f>
        <x:v>8.022244336263178</x:v>
      </x:c>
      <x:c r="I14" s="153" t="n">
        <x:f>IF(8&lt;='Dynamic Inputs'!$B$64,IFERROR((I9-I45)/(('Dress - CAPEX'!$B$18*'Dynamic Inputs'!$B$63)*'General Assumptions'!$B$6/(1-(1+'General Assumptions'!$B$6)^(-'Dynamic Inputs'!$B$64))),0),0)</x:f>
        <x:v>0</x:v>
      </x:c>
      <x:c r="J14" s="153" t="n">
        <x:f>IF(9&lt;='Dynamic Inputs'!$B$64,IFERROR((J9-J45)/(('Dress - CAPEX'!$B$18*'Dynamic Inputs'!$B$63)*'General Assumptions'!$B$6/(1-(1+'General Assumptions'!$B$6)^(-'Dynamic Inputs'!$B$64))),0),0)</x:f>
        <x:v>0</x:v>
      </x:c>
      <x:c r="K14" s="153" t="n">
        <x:f>IF(10&lt;='Dynamic Inputs'!$B$64,IFERROR((K9-K45)/(('Dress - CAPEX'!$B$18*'Dynamic Inputs'!$B$63)*'General Assumptions'!$B$6/(1-(1+'General Assumptions'!$B$6)^(-'Dynamic Inputs'!$B$64))),0),0)</x:f>
        <x:v>0</x:v>
      </x:c>
      <x:c r="L14"/>
    </x:row>
    <x:row r="15">
      <x:c r="A15"/>
      <x:c r="B15"/>
      <x:c r="C15"/>
      <x:c r="D15"/>
      <x:c r="E15"/>
      <x:c r="F15"/>
      <x:c r="G15"/>
      <x:c r="H15"/>
      <x:c r="I15"/>
      <x:c r="J15"/>
      <x:c r="K15"/>
      <x:c r="L15"/>
    </x:row>
    <x:row r="16">
      <x:c r="A16" s="46" t="str">
        <x:v>المؤشر</x:v>
      </x:c>
      <x:c r="B16" s="46" t="str">
        <x:v>دون الأرض</x:v>
      </x:c>
      <x:c r="C16" s="46" t="str">
        <x:v>مع الأرض</x:v>
      </x:c>
      <x:c r="D16" s="46" t="str">
        <x:v>قرار</x:v>
      </x:c>
      <x:c r="E16" s="46" t="str">
        <x:v>حد القبول</x:v>
      </x:c>
      <x:c r="F16" s="46" t="str">
        <x:v>ملاحظة</x:v>
      </x:c>
      <x:c r="G16"/>
      <x:c r="H16"/>
      <x:c r="I16"/>
      <x:c r="J16"/>
      <x:c r="K16"/>
      <x:c r="L16"/>
    </x:row>
    <x:row r="17" ht="26" customHeight="1">
      <x:c r="A17" s="46" t="str">
        <x:v>CAPEX</x:v>
      </x:c>
      <x:c r="B17" s="140" t="n">
        <x:f>'Dress - CAPEX'!B18</x:f>
        <x:v>130000</x:v>
      </x:c>
      <x:c r="C17" s="140" t="n">
        <x:f>'Dress - CAPEX'!B20</x:f>
        <x:v>500000</x:v>
      </x:c>
      <x:c r="D17" s="46" t="str">
        <x:v>قيد التحقق - واعد تشغيليًا</x:v>
      </x:c>
      <x:c r="E17" s="46"/>
      <x:c r="F17" s="46"/>
      <x:c r="G17"/>
      <x:c r="H17"/>
      <x:c r="I17"/>
      <x:c r="J17"/>
      <x:c r="K17"/>
      <x:c r="L17"/>
    </x:row>
    <x:row r="18" ht="26" customHeight="1">
      <x:c r="A18" s="46" t="str">
        <x:v>NPV</x:v>
      </x:c>
      <x:c r="B18" s="140" t="n">
        <x:f>B51+C51/(1+'General Assumptions'!$B$5)^1+D51/(1+'General Assumptions'!$B$5)^2+E51/(1+'General Assumptions'!$B$5)^3+F51/(1+'General Assumptions'!$B$5)^4+G51/(1+'General Assumptions'!$B$5)^5+H51/(1+'General Assumptions'!$B$5)^6+I51/(1+'General Assumptions'!$B$5)^7+J51/(1+'General Assumptions'!$B$5)^8+K51/(1+'General Assumptions'!$B$5)^9+L51/(1+'General Assumptions'!$B$5)^10</x:f>
        <x:v>353746.3460999052</x:v>
      </x:c>
      <x:c r="C18" s="140" t="n">
        <x:f>B52+C52/(1+'General Assumptions'!$B$5)^1+D52/(1+'General Assumptions'!$B$5)^2+E52/(1+'General Assumptions'!$B$5)^3+F52/(1+'General Assumptions'!$B$5)^4+G52/(1+'General Assumptions'!$B$5)^5+H52/(1+'General Assumptions'!$B$5)^6+I52/(1+'General Assumptions'!$B$5)^7+J52/(1+'General Assumptions'!$B$5)^8+K52/(1+'General Assumptions'!$B$5)^9+L52/(1+'General Assumptions'!$B$5)^10</x:f>
        <x:v>-16253.653900094825</x:v>
      </x:c>
      <x:c r="D18" s="46" t="str">
        <x:v>يُقبل إذا موجب بعد العقار</x:v>
      </x:c>
      <x:c r="E18" s="46" t="n">
        <x:v>0</x:v>
      </x:c>
      <x:c r="F18" s="46"/>
      <x:c r="G18"/>
      <x:c r="H18"/>
      <x:c r="I18"/>
      <x:c r="J18"/>
      <x:c r="K18"/>
      <x:c r="L18"/>
    </x:row>
    <x:row r="19" ht="26" customHeight="1">
      <x:c r="A19" s="46" t="str">
        <x:v>IRR</x:v>
      </x:c>
      <x:c r="B19" s="155" t="n">
        <x:f>IRR(B51:L51)</x:f>
        <x:v>0.5146404401666953</x:v>
      </x:c>
      <x:c r="C19" s="155" t="n">
        <x:f>IRR(B52:L52)</x:f>
        <x:v>0.10913247154091056</x:v>
      </x:c>
      <x:c r="D19" s="46" t="str">
        <x:v>يُقارن بمعدل الخصم</x:v>
      </x:c>
      <x:c r="E19" s="46" t="n">
        <x:v>0.115</x:v>
      </x:c>
      <x:c r="F19" s="46"/>
      <x:c r="G19"/>
      <x:c r="H19"/>
      <x:c r="I19"/>
      <x:c r="J19"/>
      <x:c r="K19"/>
      <x:c r="L19"/>
    </x:row>
    <x:row r="20" ht="26" customHeight="1">
      <x:c r="A20" s="46" t="str">
        <x:v>فترة الاسترداد</x:v>
      </x:c>
      <x:c r="B20" s="156" t="n">
        <x:f>COUNTIF(B53:L53,"&lt;0")</x:f>
        <x:v>3</x:v>
      </x:c>
      <x:c r="C20" s="156" t="n">
        <x:f>COUNTIF(B54:L54,"&lt;0")</x:f>
        <x:v>9</x:v>
      </x:c>
      <x:c r="D20" s="46" t="str">
        <x:v>الأقصر أفضل</x:v>
      </x:c>
      <x:c r="E20" s="46" t="n">
        <x:v>7</x:v>
      </x:c>
      <x:c r="F20" s="46" t="str">
        <x:v>سنة</x:v>
      </x:c>
      <x:c r="G20"/>
      <x:c r="H20"/>
      <x:c r="I20"/>
      <x:c r="J20"/>
      <x:c r="K20"/>
      <x:c r="L20"/>
    </x:row>
    <x:row r="21" ht="26" customHeight="1">
      <x:c r="A21" s="46" t="str">
        <x:v>أدنى DSCR</x:v>
      </x:c>
      <x:c r="B21" s="157" t="n">
        <x:f>MIN(B14:INDEX(B14:K14,1,'Dynamic Inputs'!$B$64))</x:f>
        <x:v>4.5733944647753635</x:v>
      </x:c>
      <x:c r="C21" s="157" t="n">
        <x:f>B21</x:f>
        <x:v>4.5733944647753635</x:v>
      </x:c>
      <x:c r="D21" s="46" t="str">
        <x:v>يجب ألا يقل عن 1.30x</x:v>
      </x:c>
      <x:c r="E21" s="46" t="n">
        <x:v>1.3</x:v>
      </x:c>
      <x:c r="F21" s="46"/>
      <x:c r="G21"/>
      <x:c r="H21"/>
      <x:c r="I21"/>
      <x:c r="J21"/>
      <x:c r="K21"/>
      <x:c r="L21"/>
    </x:row>
    <x:row r="22">
      <x:c r="A22"/>
      <x:c r="B22"/>
      <x:c r="C22"/>
      <x:c r="D22"/>
      <x:c r="E22"/>
      <x:c r="F22"/>
      <x:c r="G22"/>
      <x:c r="H22"/>
      <x:c r="I22"/>
      <x:c r="J22"/>
      <x:c r="K22"/>
      <x:c r="L22"/>
    </x:row>
    <x:row r="23">
      <x:c r="A23"/>
      <x:c r="B23"/>
      <x:c r="C23"/>
      <x:c r="D23"/>
      <x:c r="E23"/>
      <x:c r="F23"/>
      <x:c r="G23"/>
      <x:c r="H23"/>
      <x:c r="I23"/>
      <x:c r="J23"/>
      <x:c r="K23"/>
      <x:c r="L23"/>
    </x:row>
    <x:row r="24">
      <x:c r="A24"/>
      <x:c r="B24"/>
      <x:c r="C24"/>
      <x:c r="D24"/>
      <x:c r="E24"/>
      <x:c r="F24"/>
      <x:c r="G24"/>
      <x:c r="H24"/>
      <x:c r="I24"/>
      <x:c r="J24"/>
      <x:c r="K24"/>
      <x:c r="L24"/>
    </x:row>
    <x:row r="25">
      <x:c r="A25"/>
      <x:c r="B25"/>
      <x:c r="C25"/>
      <x:c r="D25"/>
      <x:c r="E25"/>
      <x:c r="F25"/>
      <x:c r="G25"/>
      <x:c r="H25"/>
      <x:c r="I25"/>
      <x:c r="J25"/>
      <x:c r="K25"/>
      <x:c r="L25"/>
    </x:row>
    <x:row r="26">
      <x:c r="A26"/>
      <x:c r="B26"/>
      <x:c r="C26"/>
      <x:c r="D26"/>
      <x:c r="E26"/>
      <x:c r="F26"/>
      <x:c r="G26"/>
      <x:c r="H26"/>
      <x:c r="I26"/>
      <x:c r="J26"/>
      <x:c r="K26"/>
      <x:c r="L26"/>
    </x:row>
    <x:row r="27">
      <x:c r="A27"/>
      <x:c r="B27"/>
      <x:c r="C27"/>
      <x:c r="D27"/>
      <x:c r="E27"/>
      <x:c r="F27"/>
      <x:c r="G27"/>
      <x:c r="H27"/>
      <x:c r="I27"/>
      <x:c r="J27"/>
      <x:c r="K27"/>
      <x:c r="L27"/>
    </x:row>
    <x:row r="28">
      <x:c r="A28"/>
      <x:c r="B28"/>
      <x:c r="C28"/>
      <x:c r="D28"/>
      <x:c r="E28"/>
      <x:c r="F28"/>
      <x:c r="G28"/>
      <x:c r="H28"/>
      <x:c r="I28"/>
      <x:c r="J28"/>
      <x:c r="K28"/>
      <x:c r="L28"/>
    </x:row>
    <x:row r="29">
      <x:c r="A29"/>
      <x:c r="B29"/>
      <x:c r="C29"/>
      <x:c r="D29"/>
      <x:c r="E29"/>
      <x:c r="F29"/>
      <x:c r="G29"/>
      <x:c r="H29"/>
      <x:c r="I29"/>
      <x:c r="J29"/>
      <x:c r="K29"/>
      <x:c r="L29"/>
    </x:row>
    <x:row r="30">
      <x:c r="A30"/>
      <x:c r="B30"/>
      <x:c r="C30"/>
      <x:c r="D30"/>
      <x:c r="E30"/>
      <x:c r="F30"/>
      <x:c r="G30"/>
      <x:c r="H30"/>
      <x:c r="I30"/>
      <x:c r="J30"/>
      <x:c r="K30"/>
      <x:c r="L30"/>
    </x:row>
    <x:row r="31">
      <x:c r="A31"/>
      <x:c r="B31"/>
      <x:c r="C31"/>
      <x:c r="D31"/>
      <x:c r="E31"/>
      <x:c r="F31"/>
      <x:c r="G31"/>
      <x:c r="H31"/>
      <x:c r="I31"/>
      <x:c r="J31"/>
      <x:c r="K31"/>
      <x:c r="L31"/>
    </x:row>
    <x:row r="32">
      <x:c r="A32"/>
      <x:c r="B32"/>
      <x:c r="C32"/>
      <x:c r="D32"/>
      <x:c r="E32"/>
      <x:c r="F32"/>
      <x:c r="G32"/>
      <x:c r="H32"/>
      <x:c r="I32"/>
      <x:c r="J32"/>
      <x:c r="K32"/>
      <x:c r="L32"/>
    </x:row>
    <x:row r="33">
      <x:c r="A33"/>
      <x:c r="B33"/>
      <x:c r="C33"/>
      <x:c r="D33"/>
      <x:c r="E33"/>
      <x:c r="F33"/>
      <x:c r="G33"/>
      <x:c r="H33"/>
      <x:c r="I33"/>
      <x:c r="J33"/>
      <x:c r="K33"/>
      <x:c r="L33"/>
    </x:row>
    <x:row r="34">
      <x:c r="A34"/>
      <x:c r="B34"/>
      <x:c r="C34"/>
      <x:c r="D34"/>
      <x:c r="E34"/>
      <x:c r="F34"/>
      <x:c r="G34"/>
      <x:c r="H34"/>
      <x:c r="I34"/>
      <x:c r="J34"/>
      <x:c r="K34"/>
      <x:c r="L34"/>
    </x:row>
    <x:row r="35">
      <x:c r="A35"/>
      <x:c r="B35"/>
      <x:c r="C35"/>
      <x:c r="D35"/>
      <x:c r="E35"/>
      <x:c r="F35"/>
      <x:c r="G35"/>
      <x:c r="H35"/>
      <x:c r="I35"/>
      <x:c r="J35"/>
      <x:c r="K35"/>
      <x:c r="L35"/>
    </x:row>
    <x:row r="36">
      <x:c r="A36"/>
      <x:c r="B36"/>
      <x:c r="C36"/>
      <x:c r="D36"/>
      <x:c r="E36"/>
      <x:c r="F36"/>
      <x:c r="G36"/>
      <x:c r="H36"/>
      <x:c r="I36"/>
      <x:c r="J36"/>
      <x:c r="K36"/>
      <x:c r="L36"/>
    </x:row>
    <x:row r="37">
      <x:c r="A37"/>
      <x:c r="B37"/>
      <x:c r="C37"/>
      <x:c r="D37"/>
      <x:c r="E37"/>
      <x:c r="F37"/>
      <x:c r="G37"/>
      <x:c r="H37"/>
      <x:c r="I37"/>
      <x:c r="J37"/>
      <x:c r="K37"/>
      <x:c r="L37"/>
    </x:row>
    <x:row r="38">
      <x:c r="A38"/>
      <x:c r="B38"/>
      <x:c r="C38"/>
      <x:c r="D38"/>
      <x:c r="E38"/>
      <x:c r="F38"/>
      <x:c r="G38"/>
      <x:c r="H38"/>
      <x:c r="I38"/>
      <x:c r="J38"/>
      <x:c r="K38"/>
      <x:c r="L38"/>
    </x:row>
    <x:row r="39">
      <x:c r="A39"/>
      <x:c r="B39"/>
      <x:c r="C39"/>
      <x:c r="D39"/>
      <x:c r="E39"/>
      <x:c r="F39"/>
      <x:c r="G39"/>
      <x:c r="H39"/>
      <x:c r="I39"/>
      <x:c r="J39"/>
      <x:c r="K39"/>
      <x:c r="L39"/>
    </x:row>
    <x:row r="40">
      <x:c r="A40"/>
      <x:c r="B40"/>
      <x:c r="C40"/>
      <x:c r="D40"/>
      <x:c r="E40"/>
      <x:c r="F40"/>
      <x:c r="G40"/>
      <x:c r="H40"/>
      <x:c r="I40"/>
      <x:c r="J40"/>
      <x:c r="K40"/>
      <x:c r="L40"/>
    </x:row>
    <x:row r="41">
      <x:c r="A41"/>
      <x:c r="B41"/>
      <x:c r="C41"/>
      <x:c r="D41"/>
      <x:c r="E41"/>
      <x:c r="F41"/>
      <x:c r="G41"/>
      <x:c r="H41"/>
      <x:c r="I41"/>
      <x:c r="J41"/>
      <x:c r="K41"/>
      <x:c r="L41"/>
    </x:row>
    <x:row r="42">
      <x:c r="A42" t="str">
        <x:v>حسابات مساندة</x:v>
      </x:c>
      <x:c r="B42" t="str">
        <x:v>سنة 1</x:v>
      </x:c>
      <x:c r="C42" t="str">
        <x:v>سنة 2</x:v>
      </x:c>
      <x:c r="D42" t="str">
        <x:v>سنة 3</x:v>
      </x:c>
      <x:c r="E42" t="str">
        <x:v>سنة 4</x:v>
      </x:c>
      <x:c r="F42" t="str">
        <x:v>سنة 5</x:v>
      </x:c>
      <x:c r="G42" t="str">
        <x:v>سنة 6</x:v>
      </x:c>
      <x:c r="H42" t="str">
        <x:v>سنة 7</x:v>
      </x:c>
      <x:c r="I42" t="str">
        <x:v>سنة 8</x:v>
      </x:c>
      <x:c r="J42" t="str">
        <x:v>سنة 9</x:v>
      </x:c>
      <x:c r="K42" t="str">
        <x:v>سنة 10</x:v>
      </x:c>
      <x:c r="L42"/>
    </x:row>
    <x:row r="43">
      <x:c r="A43" t="str">
        <x:v>رصيد الدين التقريبي</x:v>
      </x:c>
      <x:c r="B43" s="24" t="n">
        <x:f>MAX(0,'Dress - CAPEX'!$B$18*'Dynamic Inputs'!$B$63*(1-(1-1)/'Dynamic Inputs'!$B$64))</x:f>
        <x:v>45500</x:v>
      </x:c>
      <x:c r="C43" s="24" t="n">
        <x:f>MAX(0,'Dress - CAPEX'!$B$18*'Dynamic Inputs'!$B$63*(1-(2-1)/'Dynamic Inputs'!$B$64))</x:f>
        <x:v>39000</x:v>
      </x:c>
      <x:c r="D43" s="24" t="n">
        <x:f>MAX(0,'Dress - CAPEX'!$B$18*'Dynamic Inputs'!$B$63*(1-(3-1)/'Dynamic Inputs'!$B$64))</x:f>
        <x:v>32500</x:v>
      </x:c>
      <x:c r="E43" s="24" t="n">
        <x:f>MAX(0,'Dress - CAPEX'!$B$18*'Dynamic Inputs'!$B$63*(1-(4-1)/'Dynamic Inputs'!$B$64))</x:f>
        <x:v>26000</x:v>
      </x:c>
      <x:c r="F43" s="24" t="n">
        <x:f>MAX(0,'Dress - CAPEX'!$B$18*'Dynamic Inputs'!$B$63*(1-(5-1)/'Dynamic Inputs'!$B$64))</x:f>
        <x:v>19500</x:v>
      </x:c>
      <x:c r="G43" s="24" t="n">
        <x:f>MAX(0,'Dress - CAPEX'!$B$18*'Dynamic Inputs'!$B$63*(1-(6-1)/'Dynamic Inputs'!$B$64))</x:f>
        <x:v>13000</x:v>
      </x:c>
      <x:c r="H43" s="24" t="n">
        <x:f>MAX(0,'Dress - CAPEX'!$B$18*'Dynamic Inputs'!$B$63*(1-(7-1)/'Dynamic Inputs'!$B$64))</x:f>
        <x:v>6500.000000000002</x:v>
      </x:c>
      <x:c r="I43" s="24" t="n">
        <x:f>MAX(0,'Dress - CAPEX'!$B$18*'Dynamic Inputs'!$B$63*(1-(8-1)/'Dynamic Inputs'!$B$64))</x:f>
        <x:v>0</x:v>
      </x:c>
      <x:c r="J43" s="24" t="n">
        <x:f>MAX(0,'Dress - CAPEX'!$B$18*'Dynamic Inputs'!$B$63*(1-(9-1)/'Dynamic Inputs'!$B$64))</x:f>
        <x:v>0</x:v>
      </x:c>
      <x:c r="K43" s="24" t="n">
        <x:f>MAX(0,'Dress - CAPEX'!$B$18*'Dynamic Inputs'!$B$63*(1-(10-1)/'Dynamic Inputs'!$B$64))</x:f>
        <x:v>0</x:v>
      </x:c>
      <x:c r="L43"/>
    </x:row>
    <x:row r="44">
      <x:c r="A44" t="str">
        <x:v>الفائدة</x:v>
      </x:c>
      <x:c r="B44" s="24" t="n">
        <x:f>IF(1&lt;='Dynamic Inputs'!$B$64,B43*'General Assumptions'!$B$6,0)</x:f>
        <x:v>4095</x:v>
      </x:c>
      <x:c r="C44" s="24" t="n">
        <x:f>IF(2&lt;='Dynamic Inputs'!$B$64,C43*'General Assumptions'!$B$6,0)</x:f>
        <x:v>3510</x:v>
      </x:c>
      <x:c r="D44" s="24" t="n">
        <x:f>IF(3&lt;='Dynamic Inputs'!$B$64,D43*'General Assumptions'!$B$6,0)</x:f>
        <x:v>2925</x:v>
      </x:c>
      <x:c r="E44" s="24" t="n">
        <x:f>IF(4&lt;='Dynamic Inputs'!$B$64,E43*'General Assumptions'!$B$6,0)</x:f>
        <x:v>2340</x:v>
      </x:c>
      <x:c r="F44" s="24" t="n">
        <x:f>IF(5&lt;='Dynamic Inputs'!$B$64,F43*'General Assumptions'!$B$6,0)</x:f>
        <x:v>1755</x:v>
      </x:c>
      <x:c r="G44" s="24" t="n">
        <x:f>IF(6&lt;='Dynamic Inputs'!$B$64,G43*'General Assumptions'!$B$6,0)</x:f>
        <x:v>1170</x:v>
      </x:c>
      <x:c r="H44" s="24" t="n">
        <x:f>IF(7&lt;='Dynamic Inputs'!$B$64,H43*'General Assumptions'!$B$6,0)</x:f>
        <x:v>585.0000000000001</x:v>
      </x:c>
      <x:c r="I44" s="24" t="n">
        <x:f>IF(8&lt;='Dynamic Inputs'!$B$64,I43*'General Assumptions'!$B$6,0)</x:f>
        <x:v>0</x:v>
      </x:c>
      <x:c r="J44" s="24" t="n">
        <x:f>IF(9&lt;='Dynamic Inputs'!$B$64,J43*'General Assumptions'!$B$6,0)</x:f>
        <x:v>0</x:v>
      </x:c>
      <x:c r="K44" s="24" t="n">
        <x:f>IF(10&lt;='Dynamic Inputs'!$B$64,K43*'General Assumptions'!$B$6,0)</x:f>
        <x:v>0</x:v>
      </x:c>
      <x:c r="L44"/>
    </x:row>
    <x:row r="45">
      <x:c r="A45" t="str">
        <x:v>الضريبة</x:v>
      </x:c>
      <x:c r="B45" s="24" t="n">
        <x:f>MAX(0,B9-B11-B44)*'General Assumptions'!$B$7</x:f>
        <x:v>2562.6000000000004</x:v>
      </x:c>
      <x:c r="C45" s="24" t="n">
        <x:f>MAX(0,C9-C11-C44)*'General Assumptions'!$B$7</x:f>
        <x:v>4580.856</x:v>
      </x:c>
      <x:c r="D45" s="24" t="n">
        <x:f>MAX(0,D9-D11-D44)*'General Assumptions'!$B$7</x:f>
        <x:v>6287.285040000006</x:v>
      </x:c>
      <x:c r="E45" s="24" t="n">
        <x:f>MAX(0,E9-E11-E44)*'General Assumptions'!$B$7</x:f>
        <x:v>7855.931709600001</x:v>
      </x:c>
      <x:c r="F45" s="24" t="n">
        <x:f>MAX(0,F9-F11-F44)*'General Assumptions'!$B$7</x:f>
        <x:v>9236.052388824004</x:v>
      </x:c>
      <x:c r="G45" s="24" t="n">
        <x:f>MAX(0,G9-G11-G44)*'General Assumptions'!$B$7</x:f>
        <x:v>10377.919080422167</x:v>
      </x:c>
      <x:c r="H45" s="24" t="n">
        <x:f>MAX(0,H9-H11-H44)*'General Assumptions'!$B$7</x:f>
        <x:v>11234.861559213998</x:v>
      </x:c>
      <x:c r="I45" s="24" t="n">
        <x:f>MAX(0,I9-I11-I44)*'General Assumptions'!$B$7</x:f>
        <x:v>12124.385708624739</x:v>
      </x:c>
      <x:c r="J45" s="24" t="n">
        <x:f>MAX(0,J9-J11-J44)*'General Assumptions'!$B$7</x:f>
        <x:v>12557.45462771682</x:v>
      </x:c>
      <x:c r="K45" s="24" t="n">
        <x:f>MAX(0,K9-K11-K44)*'General Assumptions'!$B$7</x:f>
        <x:v>12999.809108294983</x:v>
      </x:c>
      <x:c r="L45"/>
    </x:row>
    <x:row r="46">
      <x:c r="A46" t="str">
        <x:v>رأس المال العامل</x:v>
      </x:c>
      <x:c r="B46" s="24" t="n">
        <x:f>B4*'Dynamic Inputs'!$B$67</x:f>
        <x:v>11904</x:v>
      </x:c>
      <x:c r="C46" s="24" t="n">
        <x:f>C4*'Dynamic Inputs'!$B$67</x:f>
        <x:v>13094.4</x:v>
      </x:c>
      <x:c r="D46" s="24" t="n">
        <x:f>D4*'Dynamic Inputs'!$B$67</x:f>
        <x:v>14141.952000000003</x:v>
      </x:c>
      <x:c r="E46" s="24" t="n">
        <x:f>E4*'Dynamic Inputs'!$B$67</x:f>
        <x:v>15131.888640000003</x:v>
      </x:c>
      <x:c r="F46" s="24" t="n">
        <x:f>F4*'Dynamic Inputs'!$B$67</x:f>
        <x:v>16039.801958400005</x:v>
      </x:c>
      <x:c r="G46" s="24" t="n">
        <x:f>G4*'Dynamic Inputs'!$B$67</x:f>
        <x:v>16841.792056320006</x:v>
      </x:c>
      <x:c r="H46" s="24" t="n">
        <x:f>H4*'Dynamic Inputs'!$B$67</x:f>
        <x:v>17515.463738572806</x:v>
      </x:c>
      <x:c r="I46" s="24" t="n">
        <x:f>I4*'Dynamic Inputs'!$B$67</x:f>
        <x:v>18216.08228811572</x:v>
      </x:c>
      <x:c r="J46" s="24" t="n">
        <x:f>J4*'Dynamic Inputs'!$B$67</x:f>
        <x:v>18762.56475675919</x:v>
      </x:c>
      <x:c r="K46" s="24" t="n">
        <x:f>K4*'Dynamic Inputs'!$B$67</x:f>
        <x:v>19325.441699461968</x:v>
      </x:c>
      <x:c r="L46"/>
    </x:row>
    <x:row r="47">
      <x:c r="A47" t="str">
        <x:v>التغير في رأس المال العامل</x:v>
      </x:c>
      <x:c r="B47" s="24" t="n">
        <x:f>B46</x:f>
        <x:v>11904</x:v>
      </x:c>
      <x:c r="C47" s="24" t="n">
        <x:f>C46-B46</x:f>
        <x:v>1190.3999999999996</x:v>
      </x:c>
      <x:c r="D47" s="24" t="n">
        <x:f>D46-C46</x:f>
        <x:v>1047.5520000000033</x:v>
      </x:c>
      <x:c r="E47" s="24" t="n">
        <x:f>E46-D46</x:f>
        <x:v>989.9366399999999</x:v>
      </x:c>
      <x:c r="F47" s="24" t="n">
        <x:f>F46-E46</x:f>
        <x:v>907.913318400002</x:v>
      </x:c>
      <x:c r="G47" s="24" t="n">
        <x:f>G46-F46</x:f>
        <x:v>801.9900979200011</x:v>
      </x:c>
      <x:c r="H47" s="24" t="n">
        <x:f>H46-G46</x:f>
        <x:v>673.6716822527997</x:v>
      </x:c>
      <x:c r="I47" s="24" t="n">
        <x:f>I46-H46</x:f>
        <x:v>700.6185495429127</x:v>
      </x:c>
      <x:c r="J47" s="24" t="n">
        <x:f>J46-I46</x:f>
        <x:v>546.4824686434731</x:v>
      </x:c>
      <x:c r="K47" s="24" t="n">
        <x:f>K46-J46</x:f>
        <x:v>562.8769427027764</x:v>
      </x:c>
      <x:c r="L47"/>
    </x:row>
    <x:row r="48">
      <x:c r="A48" t="str">
        <x:v>الصيانة الرأسمالية</x:v>
      </x:c>
      <x:c r="B48" s="24" t="n">
        <x:f>'Dress - CAPEX'!$B$5*'Dynamic Inputs'!$B$66</x:f>
        <x:v>6000</x:v>
      </x:c>
      <x:c r="C48" s="24" t="n">
        <x:f>'Dress - CAPEX'!$B$5*'Dynamic Inputs'!$B$66</x:f>
        <x:v>6000</x:v>
      </x:c>
      <x:c r="D48" s="24" t="n">
        <x:f>'Dress - CAPEX'!$B$5*'Dynamic Inputs'!$B$66</x:f>
        <x:v>6000</x:v>
      </x:c>
      <x:c r="E48" s="24" t="n">
        <x:f>'Dress - CAPEX'!$B$5*'Dynamic Inputs'!$B$66</x:f>
        <x:v>6000</x:v>
      </x:c>
      <x:c r="F48" s="24" t="n">
        <x:f>'Dress - CAPEX'!$B$5*'Dynamic Inputs'!$B$66</x:f>
        <x:v>6000</x:v>
      </x:c>
      <x:c r="G48" s="24" t="n">
        <x:f>'Dress - CAPEX'!$B$5*'Dynamic Inputs'!$B$66</x:f>
        <x:v>6000</x:v>
      </x:c>
      <x:c r="H48" s="24" t="n">
        <x:f>'Dress - CAPEX'!$B$5*'Dynamic Inputs'!$B$66</x:f>
        <x:v>6000</x:v>
      </x:c>
      <x:c r="I48" s="24" t="n">
        <x:f>'Dress - CAPEX'!$B$5*'Dynamic Inputs'!$B$66</x:f>
        <x:v>6000</x:v>
      </x:c>
      <x:c r="J48" s="24" t="n">
        <x:f>'Dress - CAPEX'!$B$5*'Dynamic Inputs'!$B$66</x:f>
        <x:v>6000</x:v>
      </x:c>
      <x:c r="K48" s="24" t="n">
        <x:f>'Dress - CAPEX'!$B$5*'Dynamic Inputs'!$B$66</x:f>
        <x:v>6000</x:v>
      </x:c>
      <x:c r="L48"/>
    </x:row>
    <x:row r="49">
      <x:c r="A49" t="str">
        <x:v>التدفق دون القيمة النهائية</x:v>
      </x:c>
      <x:c r="B49" s="24" t="n">
        <x:f>(B9-B11)*(1-'General Assumptions'!$B$7)+B11-B48-B47</x:f>
        <x:v>22622.4</x:v>
      </x:c>
      <x:c r="C49" s="24" t="n">
        <x:f>(C9-C11)*(1-'General Assumptions'!$B$7)+C11-C48-C47</x:f>
        <x:v>40941.024</x:v>
      </x:c>
      <x:c r="D49" s="24" t="n">
        <x:f>(D9-D11)*(1-'General Assumptions'!$B$7)+D11-D48-D47</x:f>
        <x:v>47441.58816000002</x:v>
      </x:c>
      <x:c r="E49" s="24" t="n">
        <x:f>(E9-E11)*(1-'General Assumptions'!$B$7)+E11-E48-E47</x:f>
        <x:v>53305.790198400005</x:v>
      </x:c>
      <x:c r="F49" s="24" t="n">
        <x:f>(F9-F11)*(1-'General Assumptions'!$B$7)+F11-F48-F47</x:f>
        <x:v>58440.296236896014</x:v>
      </x:c>
      <x:c r="G49" s="24" t="n">
        <x:f>(G9-G11)*(1-'General Assumptions'!$B$7)+G11-G48-G47</x:f>
        <x:v>62645.68622376866</x:v>
      </x:c>
      <x:c r="H49" s="24" t="n">
        <x:f>(H9-H11)*(1-'General Assumptions'!$B$7)+H11-H48-H47</x:f>
        <x:v>65733.7745546032</x:v>
      </x:c>
      <x:c r="I49" s="24" t="n">
        <x:f>(I9-I11)*(1-'General Assumptions'!$B$7)+I11-I48-I47</x:f>
        <x:v>68796.92428495604</x:v>
      </x:c>
      <x:c r="J49" s="24" t="n">
        <x:f>(J9-J11)*(1-'General Assumptions'!$B$7)+J11-J48-J47</x:f>
        <x:v>70683.3360422238</x:v>
      </x:c>
      <x:c r="K49" s="24" t="n">
        <x:f>(K9-K11)*(1-'General Assumptions'!$B$7)+K11-K48-K47</x:f>
        <x:v>72436.35949047716</x:v>
      </x:c>
      <x:c r="L49"/>
    </x:row>
    <x:row r="50">
      <x:c r="A50" t="str">
        <x:v>التدفق مع القيمة النهائية</x:v>
      </x:c>
      <x:c r="B50" s="24" t="n">
        <x:f>B49</x:f>
        <x:v>22622.4</x:v>
      </x:c>
      <x:c r="C50" s="24" t="n">
        <x:f>C49</x:f>
        <x:v>40941.024</x:v>
      </x:c>
      <x:c r="D50" s="24" t="n">
        <x:f>D49</x:f>
        <x:v>47441.58816000002</x:v>
      </x:c>
      <x:c r="E50" s="24" t="n">
        <x:f>E49</x:f>
        <x:v>53305.790198400005</x:v>
      </x:c>
      <x:c r="F50" s="24" t="n">
        <x:f>F49</x:f>
        <x:v>58440.296236896014</x:v>
      </x:c>
      <x:c r="G50" s="24" t="n">
        <x:f>G49</x:f>
        <x:v>62645.68622376866</x:v>
      </x:c>
      <x:c r="H50" s="24" t="n">
        <x:f>H49</x:f>
        <x:v>65733.7745546032</x:v>
      </x:c>
      <x:c r="I50" s="24" t="n">
        <x:f>I49</x:f>
        <x:v>68796.92428495604</x:v>
      </x:c>
      <x:c r="J50" s="24" t="n">
        <x:f>J49</x:f>
        <x:v>70683.3360422238</x:v>
      </x:c>
      <x:c r="K50" s="24" t="n">
        <x:f>K49+MAX(0,K9)*'Dynamic Inputs'!$B$65</x:f>
        <x:v>486432.0644271143</x:v>
      </x:c>
      <x:c r="L50"/>
    </x:row>
    <x:row r="51">
      <x:c r="A51" t="str">
        <x:v>التدفقات دون الأرض</x:v>
      </x:c>
      <x:c r="B51" s="24" t="n">
        <x:f>-('Dress - CAPEX'!$B$18*(1-'Dynamic Inputs'!$B$63))</x:f>
        <x:v>-84500</x:v>
      </x:c>
      <x:c r="C51" s="24" t="n">
        <x:f>B50</x:f>
        <x:v>22622.4</x:v>
      </x:c>
      <x:c r="D51" s="24" t="n">
        <x:f>C50</x:f>
        <x:v>40941.024</x:v>
      </x:c>
      <x:c r="E51" s="24" t="n">
        <x:f>D50</x:f>
        <x:v>47441.58816000002</x:v>
      </x:c>
      <x:c r="F51" s="24" t="n">
        <x:f>E50</x:f>
        <x:v>53305.790198400005</x:v>
      </x:c>
      <x:c r="G51" s="24" t="n">
        <x:f>F50</x:f>
        <x:v>58440.296236896014</x:v>
      </x:c>
      <x:c r="H51" s="24" t="n">
        <x:f>G50</x:f>
        <x:v>62645.68622376866</x:v>
      </x:c>
      <x:c r="I51" s="24" t="n">
        <x:f>H50</x:f>
        <x:v>65733.7745546032</x:v>
      </x:c>
      <x:c r="J51" s="24" t="n">
        <x:f>I50</x:f>
        <x:v>68796.92428495604</x:v>
      </x:c>
      <x:c r="K51" s="24" t="n">
        <x:f>J50</x:f>
        <x:v>70683.3360422238</x:v>
      </x:c>
      <x:c r="L51" s="24" t="n">
        <x:f>K50</x:f>
        <x:v>486432.0644271143</x:v>
      </x:c>
    </x:row>
    <x:row r="52">
      <x:c r="A52" t="str">
        <x:v>التدفقات مع الأرض</x:v>
      </x:c>
      <x:c r="B52" s="24" t="n">
        <x:f>-('Dress - CAPEX'!$B$20-('Dress - CAPEX'!$B$18*'Dynamic Inputs'!$B$63))</x:f>
        <x:v>-454500</x:v>
      </x:c>
      <x:c r="C52" s="24" t="n">
        <x:f>B50</x:f>
        <x:v>22622.4</x:v>
      </x:c>
      <x:c r="D52" s="24" t="n">
        <x:f>C50</x:f>
        <x:v>40941.024</x:v>
      </x:c>
      <x:c r="E52" s="24" t="n">
        <x:f>D50</x:f>
        <x:v>47441.58816000002</x:v>
      </x:c>
      <x:c r="F52" s="24" t="n">
        <x:f>E50</x:f>
        <x:v>53305.790198400005</x:v>
      </x:c>
      <x:c r="G52" s="24" t="n">
        <x:f>F50</x:f>
        <x:v>58440.296236896014</x:v>
      </x:c>
      <x:c r="H52" s="24" t="n">
        <x:f>G50</x:f>
        <x:v>62645.68622376866</x:v>
      </x:c>
      <x:c r="I52" s="24" t="n">
        <x:f>H50</x:f>
        <x:v>65733.7745546032</x:v>
      </x:c>
      <x:c r="J52" s="24" t="n">
        <x:f>I50</x:f>
        <x:v>68796.92428495604</x:v>
      </x:c>
      <x:c r="K52" s="24" t="n">
        <x:f>J50</x:f>
        <x:v>70683.3360422238</x:v>
      </x:c>
      <x:c r="L52" s="24" t="n">
        <x:f>K50</x:f>
        <x:v>486432.0644271143</x:v>
      </x:c>
    </x:row>
    <x:row r="53">
      <x:c r="A53" t="str">
        <x:v>التراكمي دون الأرض</x:v>
      </x:c>
      <x:c r="B53" s="24" t="n">
        <x:f>B51</x:f>
        <x:v>-84500</x:v>
      </x:c>
      <x:c r="C53" s="24" t="n">
        <x:f>B53+C51</x:f>
        <x:v>-61877.6</x:v>
      </x:c>
      <x:c r="D53" s="24" t="n">
        <x:f>C53+D51</x:f>
        <x:v>-20936.576</x:v>
      </x:c>
      <x:c r="E53" s="24" t="n">
        <x:f>D53+E51</x:f>
        <x:v>26505.01216000002</x:v>
      </x:c>
      <x:c r="F53" s="24" t="n">
        <x:f>E53+F51</x:f>
        <x:v>79810.80235840002</x:v>
      </x:c>
      <x:c r="G53" s="24" t="n">
        <x:f>F53+G51</x:f>
        <x:v>138251.09859529603</x:v>
      </x:c>
      <x:c r="H53" s="24" t="n">
        <x:f>G53+H51</x:f>
        <x:v>200896.7848190647</x:v>
      </x:c>
      <x:c r="I53" s="24" t="n">
        <x:f>H53+I51</x:f>
        <x:v>266630.5593736679</x:v>
      </x:c>
      <x:c r="J53" s="24" t="n">
        <x:f>I53+J51</x:f>
        <x:v>335427.4836586239</x:v>
      </x:c>
      <x:c r="K53" s="24" t="n">
        <x:f>J53+K51</x:f>
        <x:v>406110.8197008477</x:v>
      </x:c>
      <x:c r="L53" s="24" t="n">
        <x:f>K53+L51</x:f>
        <x:v>892542.8841279619</x:v>
      </x:c>
    </x:row>
    <x:row r="54">
      <x:c r="A54" t="str">
        <x:v>التراكمي مع الأرض</x:v>
      </x:c>
      <x:c r="B54" s="24" t="n">
        <x:f>B52</x:f>
        <x:v>-454500</x:v>
      </x:c>
      <x:c r="C54" s="24" t="n">
        <x:f>B54+C52</x:f>
        <x:v>-431877.6</x:v>
      </x:c>
      <x:c r="D54" s="24" t="n">
        <x:f>C54+D52</x:f>
        <x:v>-390936.576</x:v>
      </x:c>
      <x:c r="E54" s="24" t="n">
        <x:f>D54+E52</x:f>
        <x:v>-343494.98783999996</x:v>
      </x:c>
      <x:c r="F54" s="24" t="n">
        <x:f>E54+F52</x:f>
        <x:v>-290189.1976415999</x:v>
      </x:c>
      <x:c r="G54" s="24" t="n">
        <x:f>F54+G52</x:f>
        <x:v>-231748.9014047039</x:v>
      </x:c>
      <x:c r="H54" s="24" t="n">
        <x:f>G54+H52</x:f>
        <x:v>-169103.21518093525</x:v>
      </x:c>
      <x:c r="I54" s="24" t="n">
        <x:f>H54+I52</x:f>
        <x:v>-103369.44062633206</x:v>
      </x:c>
      <x:c r="J54" s="24" t="n">
        <x:f>I54+J52</x:f>
        <x:v>-34572.51634137602</x:v>
      </x:c>
      <x:c r="K54" s="24" t="n">
        <x:f>J54+K52</x:f>
        <x:v>36110.81970084779</x:v>
      </x:c>
      <x:c r="L54" s="24" t="n">
        <x:f>K54+L52</x:f>
        <x:v>522542.8841279621</x:v>
      </x:c>
    </x:row>
  </x:sheetData>
  <x:mergeCells>
    <x:mergeCell ref="A1:L1"/>
  </x:mergeCells>
  <x:pageMargins left="0.7" right="0.7" top="0.75" bottom="0.75" header="0.3" footer="0.3"/>
  <x:drawing xmlns:r="http://schemas.openxmlformats.org/officeDocument/2006/relationships" r:id="R3c93f70a1cdd408b"/>
</x:worksheet>
</file>

<file path=xl/worksheets/sheet21.xml><?xml version="1.0" encoding="utf-8"?>
<x:worksheet xmlns:x="http://schemas.openxmlformats.org/spreadsheetml/2006/main">
  <x:sheetViews>
    <x:sheetView showGridLines="0" workbookViewId="0"/>
  </x:sheetViews>
  <x:sheetFormatPr defaultRowHeight="15"/>
  <x:cols>
    <x:col min="1" max="1" width="28" hidden="0" customWidth="1"/>
    <x:col min="2" max="2" width="17" hidden="0" customWidth="1"/>
    <x:col min="3" max="3" width="17" hidden="0" customWidth="1"/>
    <x:col min="4" max="4" width="17" hidden="0" customWidth="1"/>
    <x:col min="5" max="5" width="17" hidden="0" customWidth="1"/>
    <x:col min="6" max="6" width="17" hidden="0" customWidth="1"/>
    <x:col min="7" max="7" width="45" hidden="0" customWidth="1"/>
  </x:cols>
  <x:sheetData>
    <x:row r="1" ht="40" customHeight="1">
      <x:c r="A1" s="107" t="str">
        <x:v>فحوصات سلامة النموذج - مشروع تأجير الفساتين</x:v>
      </x:c>
      <x:c r="B1" s="107" t="str">
        <x:v>فحوصات سلامة النموذج - مشروع تأجير الفساتين</x:v>
      </x:c>
      <x:c r="C1" s="107" t="str">
        <x:v>فحوصات سلامة النموذج - مشروع تأجير الفساتين</x:v>
      </x:c>
      <x:c r="D1" s="107" t="str">
        <x:v>فحوصات سلامة النموذج - مشروع تأجير الفساتين</x:v>
      </x:c>
      <x:c r="E1" s="107" t="str">
        <x:v>فحوصات سلامة النموذج - مشروع تأجير الفساتين</x:v>
      </x:c>
      <x:c r="F1" s="107" t="str">
        <x:v>فحوصات سلامة النموذج - مشروع تأجير الفساتين</x:v>
      </x:c>
      <x:c r="G1" s="107" t="str">
        <x:v>فحوصات سلامة النموذج - مشروع تأجير الفساتين</x:v>
      </x:c>
    </x:row>
    <x:row r="3">
      <x:c r="A3" s="119" t="str">
        <x:v>الفحص</x:v>
      </x:c>
      <x:c r="B3" s="120" t="str">
        <x:v>القيمة الفعلية</x:v>
      </x:c>
      <x:c r="C3" s="120" t="str">
        <x:v>القيمة المتوقعة</x:v>
      </x:c>
      <x:c r="D3" s="120" t="str">
        <x:v>الفرق</x:v>
      </x:c>
      <x:c r="E3" s="120" t="str">
        <x:v>السماحية</x:v>
      </x:c>
      <x:c r="F3" s="120" t="str">
        <x:v>الحالة</x:v>
      </x:c>
      <x:c r="G3" s="121" t="str">
        <x:v>ملاحظة</x:v>
      </x:c>
    </x:row>
    <x:row r="4" ht="25" customHeight="1">
      <x:c r="A4" s="46" t="str">
        <x:v>إجمالي المشروع</x:v>
      </x:c>
      <x:c r="B4" s="46" t="n">
        <x:f>'Dress - CAPEX'!B20</x:f>
        <x:v>500000</x:v>
      </x:c>
      <x:c r="C4" s="46" t="n">
        <x:v>500000</x:v>
      </x:c>
      <x:c r="D4" s="46" t="n">
        <x:f>B4-C4</x:f>
        <x:v>0</x:v>
      </x:c>
      <x:c r="E4" s="46" t="n">
        <x:v>0</x:v>
      </x:c>
      <x:c r="F4" s="46" t="str">
        <x:f>IF(ABS(D4)&lt;=E4,"OK","راجع")</x:f>
        <x:v>OK</x:v>
      </x:c>
      <x:c r="G4" s="46" t="str">
        <x:v>70 ألف صيانة + 60 ألف بضاعة + 370 ألف عقار</x:v>
      </x:c>
    </x:row>
    <x:row r="5" ht="25" customHeight="1">
      <x:c r="A5" s="46" t="str">
        <x:v>عدد الموظفين</x:v>
      </x:c>
      <x:c r="B5" s="46" t="n">
        <x:f>'Dress - Payroll'!C4</x:f>
        <x:v>6</x:v>
      </x:c>
      <x:c r="C5" s="46" t="n">
        <x:v>6</x:v>
      </x:c>
      <x:c r="D5" s="46" t="n">
        <x:f>B5-C5</x:f>
        <x:v>0</x:v>
      </x:c>
      <x:c r="E5" s="46" t="n">
        <x:v>0</x:v>
      </x:c>
      <x:c r="F5" s="46" t="str">
        <x:f>IF(ABS(D5)&lt;=E5,"OK","راجع")</x:f>
        <x:v>OK</x:v>
      </x:c>
      <x:c r="G5" s="46" t="str">
        <x:v>قيمة مزودة</x:v>
      </x:c>
    </x:row>
    <x:row r="6" ht="25" customHeight="1">
      <x:c r="A6" s="46" t="str">
        <x:v>الراتب الأساسي</x:v>
      </x:c>
      <x:c r="B6" s="46" t="n">
        <x:f>'Dress - Payroll'!D4</x:f>
        <x:v>400</x:v>
      </x:c>
      <x:c r="C6" s="46" t="n">
        <x:v>400</x:v>
      </x:c>
      <x:c r="D6" s="46" t="n">
        <x:f>B6-C6</x:f>
        <x:v>0</x:v>
      </x:c>
      <x:c r="E6" s="46" t="n">
        <x:v>0</x:v>
      </x:c>
      <x:c r="F6" s="46" t="str">
        <x:f>IF(ABS(D6)&lt;=E6,"OK","راجع")</x:f>
        <x:v>OK</x:v>
      </x:c>
      <x:c r="G6" s="46" t="str">
        <x:v>قيمة مزودة</x:v>
      </x:c>
    </x:row>
    <x:row r="7" ht="25" customHeight="1">
      <x:c r="A7" s="46" t="str">
        <x:v>ربط العمالة مع OPEX</x:v>
      </x:c>
      <x:c r="B7" s="46" t="n">
        <x:f>'Dress - OPEX'!C16</x:f>
        <x:v>35208</x:v>
      </x:c>
      <x:c r="C7" s="46"/>
      <x:c r="D7" s="46" t="n">
        <x:f>B7-'Dress - Payroll'!J15</x:f>
        <x:v>0</x:v>
      </x:c>
      <x:c r="E7" s="46" t="n">
        <x:v>0.01</x:v>
      </x:c>
      <x:c r="F7" s="46" t="str">
        <x:f>IF(ABS(D7)&lt;=E7,"OK","راجع")</x:f>
        <x:v>OK</x:v>
      </x:c>
      <x:c r="G7" s="46" t="str">
        <x:v>يجب أن يتطابق</x:v>
      </x:c>
    </x:row>
    <x:row r="8" ht="25" customHeight="1">
      <x:c r="A8" s="46" t="str">
        <x:v>مجموع OPEX</x:v>
      </x:c>
      <x:c r="B8" s="46" t="n">
        <x:f>'Dress - OPEX'!C17</x:f>
        <x:v>78108</x:v>
      </x:c>
      <x:c r="C8" s="46"/>
      <x:c r="D8" s="46" t="n">
        <x:f>B8-SUM('Dress - OPEX'!C15:C16)</x:f>
        <x:v>0</x:v>
      </x:c>
      <x:c r="E8" s="46" t="n">
        <x:v>0.01</x:v>
      </x:c>
      <x:c r="F8" s="46" t="str">
        <x:f>IF(ABS(D8)&lt;=E8,"OK","راجع")</x:f>
        <x:v>OK</x:v>
      </x:c>
      <x:c r="G8" s="46" t="str">
        <x:v>يجب أن يتطابق</x:v>
      </x:c>
    </x:row>
    <x:row r="9" ht="25" customHeight="1">
      <x:c r="A9" s="46" t="str">
        <x:v>نمط تدفق IRR دون العقار</x:v>
      </x:c>
      <x:c r="B9" s="46" t="n">
        <x:f>COUNTIF('Dress - 10Y Model'!B51:L51,"&lt;0")</x:f>
        <x:v>1</x:v>
      </x:c>
      <x:c r="C9" s="46"/>
      <x:c r="D9" s="46" t="n">
        <x:f>COUNTIF('Dress - 10Y Model'!B51:L51,"&gt;0")</x:f>
        <x:v>10</x:v>
      </x:c>
      <x:c r="E9" s="46" t="n">
        <x:v>1</x:v>
      </x:c>
      <x:c r="F9" s="46" t="str">
        <x:f>IF(AND(B9&gt;=1,D9&gt;=E9),"OK","راجع")</x:f>
        <x:v>OK</x:v>
      </x:c>
      <x:c r="G9" s="46" t="str">
        <x:v>سالب واحد وموجب واحد على الأقل</x:v>
      </x:c>
    </x:row>
    <x:row r="10" ht="25" customHeight="1">
      <x:c r="A10" s="46"/>
      <x:c r="B10" s="46"/>
      <x:c r="C10" s="46"/>
      <x:c r="D10" s="46"/>
      <x:c r="E10" s="46"/>
      <x:c r="F10" s="46"/>
      <x:c r="G10" s="46"/>
    </x:row>
    <x:row r="11" ht="25" customHeight="1">
      <x:c r="A11" s="141" t="str">
        <x:v>حالة النموذج</x:v>
      </x:c>
      <x:c r="B11" s="141"/>
      <x:c r="C11" s="141"/>
      <x:c r="D11" s="141"/>
      <x:c r="E11" s="141"/>
      <x:c r="F11" s="141" t="str">
        <x:f>IF(COUNTIF(F4:F9,"&lt;&gt;OK")=0,"OK","راجع الفحوصات")</x:f>
        <x:v>OK</x:v>
      </x:c>
      <x:c r="G11" s="141"/>
    </x:row>
  </x:sheetData>
  <x:mergeCells>
    <x:mergeCell ref="A1:G1"/>
    <x:mergeCell ref="A11:E11"/>
  </x:mergeCells>
  <x:conditionalFormatting sqref="F4:F11">
    <x:cfRule type="containsText" dxfId="6" priority="1" operator="containsText" text="OK"/>
    <x:cfRule type="containsText" dxfId="7" priority="2" operator="containsText" text="راجع"/>
  </x:conditionalFormatting>
  <x:pageMargins left="0.7" right="0.7" top="0.75" bottom="0.75" header="0.3" footer="0.3"/>
</x:worksheet>
</file>